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lipen\PycharmProjects\dosusu2sem\block5\task1\"/>
    </mc:Choice>
  </mc:AlternateContent>
  <xr:revisionPtr revIDLastSave="0" documentId="13_ncr:1_{AACF21AC-BEA1-43A6-8015-24553D9325D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Раб день" sheetId="1" r:id="rId1"/>
    <sheet name="Выход день" sheetId="2" r:id="rId2"/>
    <sheet name="Отчет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" l="1"/>
  <c r="H6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6" i="1"/>
</calcChain>
</file>

<file path=xl/sharedStrings.xml><?xml version="1.0" encoding="utf-8"?>
<sst xmlns="http://schemas.openxmlformats.org/spreadsheetml/2006/main" count="22" uniqueCount="21">
  <si>
    <t>ПН (16.02)</t>
  </si>
  <si>
    <t>ВТ (17.02)</t>
  </si>
  <si>
    <t>СР (18.02)</t>
  </si>
  <si>
    <t>ЧТ (19.02)</t>
  </si>
  <si>
    <t>ПТ (20.02)</t>
  </si>
  <si>
    <t>Среднее</t>
  </si>
  <si>
    <t>Станд. откл. (по 5 дням)</t>
  </si>
  <si>
    <t>Время</t>
  </si>
  <si>
    <t>Выполнение задания (вариант 7, неделя 16.02.2026 – 22.02.2026)</t>
  </si>
  <si>
    <r>
      <t>Перекрёсток:</t>
    </r>
    <r>
      <rPr>
        <sz val="12"/>
        <color rgb="FF0F1115"/>
        <rFont val="Calibri"/>
        <family val="2"/>
        <charset val="204"/>
        <scheme val="minor"/>
      </rPr>
      <t> пр. Ленина – ул. Энгельса</t>
    </r>
  </si>
  <si>
    <r>
      <t>Направление:</t>
    </r>
    <r>
      <rPr>
        <sz val="12"/>
        <color rgb="FF0F1115"/>
        <rFont val="Calibri"/>
        <family val="2"/>
        <charset val="204"/>
        <scheme val="minor"/>
      </rPr>
      <t> E (с востока, от остановки «Алое поле»)</t>
    </r>
  </si>
  <si>
    <r>
      <t>Параметр:</t>
    </r>
    <r>
      <rPr>
        <sz val="12"/>
        <color rgb="FF0F1115"/>
        <rFont val="Calibri"/>
        <family val="2"/>
        <charset val="204"/>
        <scheme val="minor"/>
      </rPr>
      <t> количество транспортных средств (ТС)</t>
    </r>
  </si>
  <si>
    <t>Суббота (21.02)</t>
  </si>
  <si>
    <t>Воскресенье (22.02)</t>
  </si>
  <si>
    <r>
      <t>Рабочие дни:</t>
    </r>
    <r>
      <rPr>
        <sz val="12"/>
        <color rgb="FF0F1115"/>
        <rFont val="Segoe UI"/>
        <family val="2"/>
        <charset val="204"/>
      </rPr>
      <t> пик интенсивности наблюдается с 17:00 до 18:00 (более 1700 ТС/час). Утренний пик – около 09:00 (1375 ТС/час). Наибольшая вариативность (высокое стандартное отклонение) также в вечерние часы (17:00–19:00), что говорит о нестабильности потока в эти интервалы.</t>
    </r>
  </si>
  <si>
    <r>
      <t>Стандартное отклонение</t>
    </r>
    <r>
      <rPr>
        <sz val="12"/>
        <color rgb="FF0F1115"/>
        <rFont val="Segoe UI"/>
        <family val="2"/>
        <charset val="204"/>
      </rPr>
      <t> в среднем за период 09:00–21:00 составляет ≈ 78,5 ТС, что указывает на заметный разброс между днями.</t>
    </r>
  </si>
  <si>
    <r>
      <t>Выходные дни:</t>
    </r>
    <r>
      <rPr>
        <sz val="12"/>
        <color rgb="FF0F1115"/>
        <rFont val="Segoe UI"/>
        <family val="2"/>
        <charset val="204"/>
      </rPr>
      <t> интенсивность значительно ниже (максимум около 1300 ТС/час в субботу в 13:00–14:00). Распределение более плавное, пики смещены на дневные часы.</t>
    </r>
  </si>
  <si>
    <t>Сравнение рабочих и выходных дней подтверждает типичную для города динамику: будни – ярко выраженные утренний и вечерний «часы пик», выходные – более равномерный поток в течение дня.</t>
  </si>
  <si>
    <r>
      <t>Выполнил:</t>
    </r>
    <r>
      <rPr>
        <sz val="12"/>
        <color rgb="FF0F1115"/>
        <rFont val="Segoe UI"/>
        <family val="2"/>
        <charset val="204"/>
      </rPr>
      <t> Липенков Александр, ПИШ-212</t>
    </r>
  </si>
  <si>
    <t>GitHub: https://github.com/Kango911/dosusu2sem</t>
  </si>
  <si>
    <r>
      <t>Дата:</t>
    </r>
    <r>
      <rPr>
        <sz val="12"/>
        <color rgb="FF0F1115"/>
        <rFont val="Segoe UI"/>
        <family val="2"/>
        <charset val="204"/>
      </rPr>
      <t> 13.04.2026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</si>
</sst>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2"/>
      <color rgb="FF0F1115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5" fillId="0" borderId="0" xfId="0" applyFont="1"/>
    <xf numFmtId="0" fontId="8" fillId="0" borderId="1" xfId="0" applyFont="1" applyBorder="1"/>
    <xf numFmtId="0" fontId="8" fillId="2" borderId="1" xfId="0" applyFont="1" applyFill="1" applyBorder="1" applyAlignment="1">
      <alignment horizontal="left" vertical="center" wrapText="1" indent="1"/>
    </xf>
    <xf numFmtId="20" fontId="8" fillId="2" borderId="1" xfId="0" applyNumberFormat="1" applyFont="1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0" fillId="2" borderId="1" xfId="0" applyFont="1" applyFill="1" applyBorder="1" applyAlignment="1">
      <alignment horizontal="left" vertical="center" wrapText="1" indent="1"/>
    </xf>
    <xf numFmtId="20" fontId="11" fillId="2" borderId="1" xfId="0" applyNumberFormat="1" applyFont="1" applyFill="1" applyBorder="1" applyAlignment="1">
      <alignment horizontal="left" vertical="center" wrapText="1" indent="1"/>
    </xf>
    <xf numFmtId="0" fontId="11" fillId="2" borderId="1" xfId="0" applyFont="1" applyFill="1" applyBorder="1" applyAlignment="1">
      <alignment horizontal="left" vertical="center" wrapText="1" indent="1"/>
    </xf>
    <xf numFmtId="46" fontId="11" fillId="2" borderId="1" xfId="0" applyNumberFormat="1" applyFont="1" applyFill="1" applyBorder="1" applyAlignment="1">
      <alignment horizontal="left" vertical="center" wrapText="1" indent="1"/>
    </xf>
    <xf numFmtId="21" fontId="8" fillId="2" borderId="1" xfId="0" applyNumberFormat="1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'Раб день'!$B$5</c:f>
              <c:strCache>
                <c:ptCount val="1"/>
                <c:pt idx="0">
                  <c:v>ПН (16.02)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'Раб день'!$A$6:$A$29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h:mm:ss">
                  <c:v>0</c:v>
                </c:pt>
              </c:numCache>
            </c:numRef>
          </c:cat>
          <c:val>
            <c:numRef>
              <c:f>'Раб день'!$B$6:$B$29</c:f>
              <c:numCache>
                <c:formatCode>General</c:formatCode>
                <c:ptCount val="24"/>
                <c:pt idx="0">
                  <c:v>189</c:v>
                </c:pt>
                <c:pt idx="1">
                  <c:v>112</c:v>
                </c:pt>
                <c:pt idx="2">
                  <c:v>83</c:v>
                </c:pt>
                <c:pt idx="3">
                  <c:v>34</c:v>
                </c:pt>
                <c:pt idx="4">
                  <c:v>46</c:v>
                </c:pt>
                <c:pt idx="5">
                  <c:v>110</c:v>
                </c:pt>
                <c:pt idx="6">
                  <c:v>307</c:v>
                </c:pt>
                <c:pt idx="7">
                  <c:v>849</c:v>
                </c:pt>
                <c:pt idx="8">
                  <c:v>1383</c:v>
                </c:pt>
                <c:pt idx="9">
                  <c:v>1151</c:v>
                </c:pt>
                <c:pt idx="10">
                  <c:v>1022</c:v>
                </c:pt>
                <c:pt idx="11">
                  <c:v>1150</c:v>
                </c:pt>
                <c:pt idx="12">
                  <c:v>1152</c:v>
                </c:pt>
                <c:pt idx="13">
                  <c:v>1259</c:v>
                </c:pt>
                <c:pt idx="14">
                  <c:v>1395</c:v>
                </c:pt>
                <c:pt idx="15">
                  <c:v>1359</c:v>
                </c:pt>
                <c:pt idx="16">
                  <c:v>1494</c:v>
                </c:pt>
                <c:pt idx="17">
                  <c:v>1772</c:v>
                </c:pt>
                <c:pt idx="18">
                  <c:v>1472</c:v>
                </c:pt>
                <c:pt idx="19">
                  <c:v>1263</c:v>
                </c:pt>
                <c:pt idx="20">
                  <c:v>1034</c:v>
                </c:pt>
                <c:pt idx="21">
                  <c:v>703</c:v>
                </c:pt>
                <c:pt idx="22">
                  <c:v>455</c:v>
                </c:pt>
                <c:pt idx="23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7-476E-94C9-AFC22C18CEFB}"/>
            </c:ext>
          </c:extLst>
        </c:ser>
        <c:ser>
          <c:idx val="1"/>
          <c:order val="1"/>
          <c:tx>
            <c:strRef>
              <c:f>'Раб день'!$C$5</c:f>
              <c:strCache>
                <c:ptCount val="1"/>
                <c:pt idx="0">
                  <c:v>ВТ (17.02)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'Раб день'!$A$6:$A$29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h:mm:ss">
                  <c:v>0</c:v>
                </c:pt>
              </c:numCache>
            </c:numRef>
          </c:cat>
          <c:val>
            <c:numRef>
              <c:f>'Раб день'!$C$6:$C$29</c:f>
              <c:numCache>
                <c:formatCode>General</c:formatCode>
                <c:ptCount val="24"/>
                <c:pt idx="0">
                  <c:v>174</c:v>
                </c:pt>
                <c:pt idx="1">
                  <c:v>114</c:v>
                </c:pt>
                <c:pt idx="2">
                  <c:v>61</c:v>
                </c:pt>
                <c:pt idx="3">
                  <c:v>48</c:v>
                </c:pt>
                <c:pt idx="4">
                  <c:v>68</c:v>
                </c:pt>
                <c:pt idx="5">
                  <c:v>114</c:v>
                </c:pt>
                <c:pt idx="6">
                  <c:v>312</c:v>
                </c:pt>
                <c:pt idx="7">
                  <c:v>854</c:v>
                </c:pt>
                <c:pt idx="8">
                  <c:v>1341</c:v>
                </c:pt>
                <c:pt idx="9">
                  <c:v>1201</c:v>
                </c:pt>
                <c:pt idx="10">
                  <c:v>1077</c:v>
                </c:pt>
                <c:pt idx="11">
                  <c:v>1237</c:v>
                </c:pt>
                <c:pt idx="12">
                  <c:v>1201</c:v>
                </c:pt>
                <c:pt idx="13">
                  <c:v>1377</c:v>
                </c:pt>
                <c:pt idx="14">
                  <c:v>1420</c:v>
                </c:pt>
                <c:pt idx="15">
                  <c:v>1420</c:v>
                </c:pt>
                <c:pt idx="16">
                  <c:v>1531</c:v>
                </c:pt>
                <c:pt idx="17">
                  <c:v>1817</c:v>
                </c:pt>
                <c:pt idx="18">
                  <c:v>1618</c:v>
                </c:pt>
                <c:pt idx="19">
                  <c:v>1224</c:v>
                </c:pt>
                <c:pt idx="20">
                  <c:v>1098</c:v>
                </c:pt>
                <c:pt idx="21">
                  <c:v>710</c:v>
                </c:pt>
                <c:pt idx="22">
                  <c:v>501</c:v>
                </c:pt>
                <c:pt idx="23">
                  <c:v>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7-476E-94C9-AFC22C18CEFB}"/>
            </c:ext>
          </c:extLst>
        </c:ser>
        <c:ser>
          <c:idx val="2"/>
          <c:order val="2"/>
          <c:tx>
            <c:strRef>
              <c:f>'Раб день'!$D$5</c:f>
              <c:strCache>
                <c:ptCount val="1"/>
                <c:pt idx="0">
                  <c:v>СР (18.02)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'Раб день'!$A$6:$A$29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h:mm:ss">
                  <c:v>0</c:v>
                </c:pt>
              </c:numCache>
            </c:numRef>
          </c:cat>
          <c:val>
            <c:numRef>
              <c:f>'Раб день'!$D$6:$D$29</c:f>
              <c:numCache>
                <c:formatCode>General</c:formatCode>
                <c:ptCount val="24"/>
                <c:pt idx="0">
                  <c:v>173</c:v>
                </c:pt>
                <c:pt idx="1">
                  <c:v>97</c:v>
                </c:pt>
                <c:pt idx="2">
                  <c:v>59</c:v>
                </c:pt>
                <c:pt idx="3">
                  <c:v>63</c:v>
                </c:pt>
                <c:pt idx="4">
                  <c:v>59</c:v>
                </c:pt>
                <c:pt idx="5">
                  <c:v>103</c:v>
                </c:pt>
                <c:pt idx="6">
                  <c:v>298</c:v>
                </c:pt>
                <c:pt idx="7">
                  <c:v>965</c:v>
                </c:pt>
                <c:pt idx="8">
                  <c:v>1393</c:v>
                </c:pt>
                <c:pt idx="9">
                  <c:v>1172</c:v>
                </c:pt>
                <c:pt idx="10">
                  <c:v>974</c:v>
                </c:pt>
                <c:pt idx="11">
                  <c:v>1115</c:v>
                </c:pt>
                <c:pt idx="12">
                  <c:v>1267</c:v>
                </c:pt>
                <c:pt idx="13">
                  <c:v>1351</c:v>
                </c:pt>
                <c:pt idx="14">
                  <c:v>1257</c:v>
                </c:pt>
                <c:pt idx="15">
                  <c:v>1295</c:v>
                </c:pt>
                <c:pt idx="16">
                  <c:v>1442</c:v>
                </c:pt>
                <c:pt idx="17">
                  <c:v>1652</c:v>
                </c:pt>
                <c:pt idx="18">
                  <c:v>1267</c:v>
                </c:pt>
                <c:pt idx="19">
                  <c:v>1229</c:v>
                </c:pt>
                <c:pt idx="20">
                  <c:v>1129</c:v>
                </c:pt>
                <c:pt idx="21">
                  <c:v>880</c:v>
                </c:pt>
                <c:pt idx="22">
                  <c:v>543</c:v>
                </c:pt>
                <c:pt idx="23">
                  <c:v>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D7-476E-94C9-AFC22C18CEFB}"/>
            </c:ext>
          </c:extLst>
        </c:ser>
        <c:ser>
          <c:idx val="3"/>
          <c:order val="3"/>
          <c:tx>
            <c:strRef>
              <c:f>'Раб день'!$E$5</c:f>
              <c:strCache>
                <c:ptCount val="1"/>
                <c:pt idx="0">
                  <c:v>ЧТ (19.02)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'Раб день'!$A$6:$A$29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h:mm:ss">
                  <c:v>0</c:v>
                </c:pt>
              </c:numCache>
            </c:numRef>
          </c:cat>
          <c:val>
            <c:numRef>
              <c:f>'Раб день'!$E$6:$E$29</c:f>
              <c:numCache>
                <c:formatCode>General</c:formatCode>
                <c:ptCount val="24"/>
                <c:pt idx="0">
                  <c:v>187</c:v>
                </c:pt>
                <c:pt idx="1">
                  <c:v>130</c:v>
                </c:pt>
                <c:pt idx="2">
                  <c:v>80</c:v>
                </c:pt>
                <c:pt idx="3">
                  <c:v>58</c:v>
                </c:pt>
                <c:pt idx="4">
                  <c:v>55</c:v>
                </c:pt>
                <c:pt idx="5">
                  <c:v>111</c:v>
                </c:pt>
                <c:pt idx="6">
                  <c:v>342</c:v>
                </c:pt>
                <c:pt idx="7">
                  <c:v>977</c:v>
                </c:pt>
                <c:pt idx="8">
                  <c:v>1405</c:v>
                </c:pt>
                <c:pt idx="9">
                  <c:v>1174</c:v>
                </c:pt>
                <c:pt idx="10">
                  <c:v>1087</c:v>
                </c:pt>
                <c:pt idx="11">
                  <c:v>1192</c:v>
                </c:pt>
                <c:pt idx="12">
                  <c:v>1231</c:v>
                </c:pt>
                <c:pt idx="13">
                  <c:v>1309</c:v>
                </c:pt>
                <c:pt idx="14">
                  <c:v>1347</c:v>
                </c:pt>
                <c:pt idx="15">
                  <c:v>1341</c:v>
                </c:pt>
                <c:pt idx="16">
                  <c:v>1376</c:v>
                </c:pt>
                <c:pt idx="17">
                  <c:v>1740</c:v>
                </c:pt>
                <c:pt idx="18">
                  <c:v>1496</c:v>
                </c:pt>
                <c:pt idx="19">
                  <c:v>1331</c:v>
                </c:pt>
                <c:pt idx="20">
                  <c:v>1075</c:v>
                </c:pt>
                <c:pt idx="21">
                  <c:v>785</c:v>
                </c:pt>
                <c:pt idx="22">
                  <c:v>601</c:v>
                </c:pt>
                <c:pt idx="23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D7-476E-94C9-AFC22C18CEFB}"/>
            </c:ext>
          </c:extLst>
        </c:ser>
        <c:ser>
          <c:idx val="4"/>
          <c:order val="4"/>
          <c:tx>
            <c:strRef>
              <c:f>'Раб день'!$F$5</c:f>
              <c:strCache>
                <c:ptCount val="1"/>
                <c:pt idx="0">
                  <c:v>ПТ (20.02)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'Раб день'!$A$6:$A$29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h:mm:ss">
                  <c:v>0</c:v>
                </c:pt>
              </c:numCache>
            </c:numRef>
          </c:cat>
          <c:val>
            <c:numRef>
              <c:f>'Раб день'!$F$6:$F$29</c:f>
              <c:numCache>
                <c:formatCode>General</c:formatCode>
                <c:ptCount val="24"/>
                <c:pt idx="0">
                  <c:v>217</c:v>
                </c:pt>
                <c:pt idx="1">
                  <c:v>134</c:v>
                </c:pt>
                <c:pt idx="2">
                  <c:v>71</c:v>
                </c:pt>
                <c:pt idx="3">
                  <c:v>66</c:v>
                </c:pt>
                <c:pt idx="4">
                  <c:v>64</c:v>
                </c:pt>
                <c:pt idx="5">
                  <c:v>103</c:v>
                </c:pt>
                <c:pt idx="6">
                  <c:v>355</c:v>
                </c:pt>
                <c:pt idx="7">
                  <c:v>956</c:v>
                </c:pt>
                <c:pt idx="8">
                  <c:v>1352</c:v>
                </c:pt>
                <c:pt idx="9">
                  <c:v>1208</c:v>
                </c:pt>
                <c:pt idx="10">
                  <c:v>1182</c:v>
                </c:pt>
                <c:pt idx="11">
                  <c:v>1326</c:v>
                </c:pt>
                <c:pt idx="12">
                  <c:v>1350</c:v>
                </c:pt>
                <c:pt idx="13">
                  <c:v>1421</c:v>
                </c:pt>
                <c:pt idx="14">
                  <c:v>1525</c:v>
                </c:pt>
                <c:pt idx="15">
                  <c:v>1646</c:v>
                </c:pt>
                <c:pt idx="16">
                  <c:v>1810</c:v>
                </c:pt>
                <c:pt idx="17">
                  <c:v>1712</c:v>
                </c:pt>
                <c:pt idx="18">
                  <c:v>1368</c:v>
                </c:pt>
                <c:pt idx="19">
                  <c:v>1191</c:v>
                </c:pt>
                <c:pt idx="20">
                  <c:v>1117</c:v>
                </c:pt>
                <c:pt idx="21">
                  <c:v>871</c:v>
                </c:pt>
                <c:pt idx="22">
                  <c:v>641</c:v>
                </c:pt>
                <c:pt idx="23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D7-476E-94C9-AFC22C18C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530431"/>
        <c:axId val="976530015"/>
      </c:barChart>
      <c:lineChart>
        <c:grouping val="standard"/>
        <c:varyColors val="0"/>
        <c:ser>
          <c:idx val="5"/>
          <c:order val="5"/>
          <c:tx>
            <c:strRef>
              <c:f>'Раб день'!$G$5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'Раб день'!$A$6:$A$29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h:mm:ss">
                  <c:v>0</c:v>
                </c:pt>
              </c:numCache>
            </c:numRef>
          </c:cat>
          <c:val>
            <c:numRef>
              <c:f>'Раб день'!$G$6:$G$29</c:f>
              <c:numCache>
                <c:formatCode>General</c:formatCode>
                <c:ptCount val="24"/>
                <c:pt idx="0">
                  <c:v>188</c:v>
                </c:pt>
                <c:pt idx="1">
                  <c:v>117.4</c:v>
                </c:pt>
                <c:pt idx="2">
                  <c:v>70.8</c:v>
                </c:pt>
                <c:pt idx="3">
                  <c:v>53.8</c:v>
                </c:pt>
                <c:pt idx="4">
                  <c:v>58.4</c:v>
                </c:pt>
                <c:pt idx="5">
                  <c:v>108.2</c:v>
                </c:pt>
                <c:pt idx="6">
                  <c:v>322.8</c:v>
                </c:pt>
                <c:pt idx="7">
                  <c:v>920.2</c:v>
                </c:pt>
                <c:pt idx="8">
                  <c:v>1374.8</c:v>
                </c:pt>
                <c:pt idx="9">
                  <c:v>1181.2</c:v>
                </c:pt>
                <c:pt idx="10">
                  <c:v>1068.4000000000001</c:v>
                </c:pt>
                <c:pt idx="11">
                  <c:v>1204</c:v>
                </c:pt>
                <c:pt idx="12">
                  <c:v>1240.2</c:v>
                </c:pt>
                <c:pt idx="13">
                  <c:v>1343.4</c:v>
                </c:pt>
                <c:pt idx="14">
                  <c:v>1388.8</c:v>
                </c:pt>
                <c:pt idx="15">
                  <c:v>1412.2</c:v>
                </c:pt>
                <c:pt idx="16">
                  <c:v>1530.6</c:v>
                </c:pt>
                <c:pt idx="17">
                  <c:v>1738.6</c:v>
                </c:pt>
                <c:pt idx="18">
                  <c:v>1444.2</c:v>
                </c:pt>
                <c:pt idx="19">
                  <c:v>1247.5999999999999</c:v>
                </c:pt>
                <c:pt idx="20">
                  <c:v>1090.5999999999999</c:v>
                </c:pt>
                <c:pt idx="21">
                  <c:v>789.8</c:v>
                </c:pt>
                <c:pt idx="22">
                  <c:v>548.20000000000005</c:v>
                </c:pt>
                <c:pt idx="23">
                  <c:v>350.8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D7-476E-94C9-AFC22C18C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530431"/>
        <c:axId val="976530015"/>
      </c:lineChart>
      <c:catAx>
        <c:axId val="97653043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530015"/>
        <c:crosses val="autoZero"/>
        <c:auto val="1"/>
        <c:lblAlgn val="ctr"/>
        <c:lblOffset val="100"/>
        <c:noMultiLvlLbl val="0"/>
      </c:catAx>
      <c:valAx>
        <c:axId val="97653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53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'Выход день'!$B$1</c:f>
              <c:strCache>
                <c:ptCount val="1"/>
                <c:pt idx="0">
                  <c:v>Суббота (21.02)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'Выход день'!$A$2:$A$25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[h]:mm:ss">
                  <c:v>1</c:v>
                </c:pt>
              </c:numCache>
            </c:numRef>
          </c:cat>
          <c:val>
            <c:numRef>
              <c:f>'Выход день'!$B$2:$B$25</c:f>
              <c:numCache>
                <c:formatCode>General</c:formatCode>
                <c:ptCount val="24"/>
                <c:pt idx="0">
                  <c:v>366</c:v>
                </c:pt>
                <c:pt idx="1">
                  <c:v>230</c:v>
                </c:pt>
                <c:pt idx="2">
                  <c:v>165</c:v>
                </c:pt>
                <c:pt idx="3">
                  <c:v>123</c:v>
                </c:pt>
                <c:pt idx="4">
                  <c:v>98</c:v>
                </c:pt>
                <c:pt idx="5">
                  <c:v>120</c:v>
                </c:pt>
                <c:pt idx="6">
                  <c:v>192</c:v>
                </c:pt>
                <c:pt idx="7">
                  <c:v>417</c:v>
                </c:pt>
                <c:pt idx="8">
                  <c:v>608</c:v>
                </c:pt>
                <c:pt idx="9">
                  <c:v>835</c:v>
                </c:pt>
                <c:pt idx="10">
                  <c:v>832</c:v>
                </c:pt>
                <c:pt idx="11">
                  <c:v>1152</c:v>
                </c:pt>
                <c:pt idx="12">
                  <c:v>1304</c:v>
                </c:pt>
                <c:pt idx="13">
                  <c:v>1311</c:v>
                </c:pt>
                <c:pt idx="14">
                  <c:v>1182</c:v>
                </c:pt>
                <c:pt idx="15">
                  <c:v>1256</c:v>
                </c:pt>
                <c:pt idx="16">
                  <c:v>1172</c:v>
                </c:pt>
                <c:pt idx="17">
                  <c:v>1032</c:v>
                </c:pt>
                <c:pt idx="18">
                  <c:v>1033</c:v>
                </c:pt>
                <c:pt idx="19">
                  <c:v>934</c:v>
                </c:pt>
                <c:pt idx="20">
                  <c:v>986</c:v>
                </c:pt>
                <c:pt idx="21">
                  <c:v>753</c:v>
                </c:pt>
                <c:pt idx="22">
                  <c:v>626</c:v>
                </c:pt>
                <c:pt idx="23">
                  <c:v>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1-420D-9EDE-2359C1A8B98D}"/>
            </c:ext>
          </c:extLst>
        </c:ser>
        <c:ser>
          <c:idx val="1"/>
          <c:order val="1"/>
          <c:tx>
            <c:strRef>
              <c:f>'Выход день'!$C$1</c:f>
              <c:strCache>
                <c:ptCount val="1"/>
                <c:pt idx="0">
                  <c:v>Воскресенье (22.02)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'Выход день'!$A$2:$A$25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0.375</c:v>
                </c:pt>
                <c:pt idx="9">
                  <c:v>0.41666666666666669</c:v>
                </c:pt>
                <c:pt idx="10">
                  <c:v>0.45833333333333331</c:v>
                </c:pt>
                <c:pt idx="11">
                  <c:v>0.5</c:v>
                </c:pt>
                <c:pt idx="12">
                  <c:v>0.54166666666666663</c:v>
                </c:pt>
                <c:pt idx="13">
                  <c:v>0.58333333333333337</c:v>
                </c:pt>
                <c:pt idx="14">
                  <c:v>0.625</c:v>
                </c:pt>
                <c:pt idx="15">
                  <c:v>0.66666666666666663</c:v>
                </c:pt>
                <c:pt idx="16">
                  <c:v>0.70833333333333337</c:v>
                </c:pt>
                <c:pt idx="17">
                  <c:v>0.75</c:v>
                </c:pt>
                <c:pt idx="18">
                  <c:v>0.79166666666666663</c:v>
                </c:pt>
                <c:pt idx="19">
                  <c:v>0.83333333333333337</c:v>
                </c:pt>
                <c:pt idx="20">
                  <c:v>0.875</c:v>
                </c:pt>
                <c:pt idx="21">
                  <c:v>0.91666666666666663</c:v>
                </c:pt>
                <c:pt idx="22">
                  <c:v>0.95833333333333337</c:v>
                </c:pt>
                <c:pt idx="23" formatCode="[h]:mm:ss">
                  <c:v>1</c:v>
                </c:pt>
              </c:numCache>
            </c:numRef>
          </c:cat>
          <c:val>
            <c:numRef>
              <c:f>'Выход день'!$C$2:$C$25</c:f>
              <c:numCache>
                <c:formatCode>General</c:formatCode>
                <c:ptCount val="24"/>
                <c:pt idx="0">
                  <c:v>356</c:v>
                </c:pt>
                <c:pt idx="1">
                  <c:v>245</c:v>
                </c:pt>
                <c:pt idx="2">
                  <c:v>212</c:v>
                </c:pt>
                <c:pt idx="3">
                  <c:v>166</c:v>
                </c:pt>
                <c:pt idx="4">
                  <c:v>114</c:v>
                </c:pt>
                <c:pt idx="5">
                  <c:v>110</c:v>
                </c:pt>
                <c:pt idx="6">
                  <c:v>178</c:v>
                </c:pt>
                <c:pt idx="7">
                  <c:v>252</c:v>
                </c:pt>
                <c:pt idx="8">
                  <c:v>389</c:v>
                </c:pt>
                <c:pt idx="9">
                  <c:v>559</c:v>
                </c:pt>
                <c:pt idx="10">
                  <c:v>667</c:v>
                </c:pt>
                <c:pt idx="11">
                  <c:v>851</c:v>
                </c:pt>
                <c:pt idx="12">
                  <c:v>966</c:v>
                </c:pt>
                <c:pt idx="13">
                  <c:v>1016</c:v>
                </c:pt>
                <c:pt idx="14">
                  <c:v>1046</c:v>
                </c:pt>
                <c:pt idx="15">
                  <c:v>1077</c:v>
                </c:pt>
                <c:pt idx="16">
                  <c:v>982</c:v>
                </c:pt>
                <c:pt idx="17">
                  <c:v>942</c:v>
                </c:pt>
                <c:pt idx="18">
                  <c:v>885</c:v>
                </c:pt>
                <c:pt idx="19">
                  <c:v>889</c:v>
                </c:pt>
                <c:pt idx="20">
                  <c:v>832</c:v>
                </c:pt>
                <c:pt idx="21">
                  <c:v>700</c:v>
                </c:pt>
                <c:pt idx="22">
                  <c:v>524</c:v>
                </c:pt>
                <c:pt idx="23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1-420D-9EDE-2359C1A8B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9478815"/>
        <c:axId val="989491295"/>
      </c:barChart>
      <c:catAx>
        <c:axId val="9894788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9491295"/>
        <c:crosses val="autoZero"/>
        <c:auto val="1"/>
        <c:lblAlgn val="ctr"/>
        <c:lblOffset val="100"/>
        <c:noMultiLvlLbl val="0"/>
      </c:catAx>
      <c:valAx>
        <c:axId val="98949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947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260106</xdr:colOff>
      <xdr:row>4</xdr:row>
      <xdr:rowOff>291612</xdr:rowOff>
    </xdr:from>
    <xdr:to>
      <xdr:col>15</xdr:col>
      <xdr:colOff>575163</xdr:colOff>
      <xdr:row>18</xdr:row>
      <xdr:rowOff>74735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BB407C5-6534-4A43-87F4-05C0CB7DB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2</xdr:row>
      <xdr:rowOff>166687</xdr:rowOff>
    </xdr:from>
    <xdr:to>
      <xdr:col>11</xdr:col>
      <xdr:colOff>123825</xdr:colOff>
      <xdr:row>17</xdr:row>
      <xdr:rowOff>52387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25F451D-2625-44C9-A4CF-44713D63E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Kango911/dosusu2s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opLeftCell="A4" zoomScale="130" zoomScaleNormal="130" workbookViewId="0">
      <selection activeCell="R11" sqref="R11"/>
    </sheetView>
  </sheetViews>
  <sheetFormatPr defaultRowHeight="15" x14ac:dyDescent="0.25"/>
  <cols>
    <col min="1" max="1" width="15.140625" style="1" bestFit="1" customWidth="1"/>
    <col min="2" max="7" width="9.28515625" style="1" bestFit="1" customWidth="1"/>
    <col min="8" max="8" width="12.7109375" style="1" bestFit="1" customWidth="1"/>
    <col min="9" max="16384" width="9.140625" style="1"/>
  </cols>
  <sheetData>
    <row r="1" spans="1:8" ht="15.75" x14ac:dyDescent="0.25">
      <c r="A1" s="7" t="s">
        <v>8</v>
      </c>
      <c r="B1" s="7"/>
      <c r="C1" s="7"/>
      <c r="D1" s="7"/>
      <c r="E1" s="7"/>
      <c r="F1" s="7"/>
      <c r="G1" s="7"/>
      <c r="H1" s="7"/>
    </row>
    <row r="2" spans="1:8" ht="15.75" x14ac:dyDescent="0.25">
      <c r="A2" s="6" t="s">
        <v>9</v>
      </c>
      <c r="B2" s="6"/>
      <c r="C2" s="6"/>
      <c r="D2" s="6"/>
      <c r="E2" s="6"/>
      <c r="F2" s="6"/>
      <c r="G2" s="6"/>
      <c r="H2" s="6"/>
    </row>
    <row r="3" spans="1:8" ht="15.75" x14ac:dyDescent="0.25">
      <c r="A3" s="6" t="s">
        <v>10</v>
      </c>
      <c r="B3" s="6"/>
      <c r="C3" s="6"/>
      <c r="D3" s="6"/>
      <c r="E3" s="6"/>
      <c r="F3" s="6"/>
      <c r="G3" s="6"/>
      <c r="H3" s="6"/>
    </row>
    <row r="4" spans="1:8" ht="15.75" x14ac:dyDescent="0.25">
      <c r="A4" s="6" t="s">
        <v>11</v>
      </c>
      <c r="B4" s="6"/>
      <c r="C4" s="6"/>
      <c r="D4" s="6"/>
      <c r="E4" s="6"/>
      <c r="F4" s="6"/>
      <c r="G4" s="6"/>
      <c r="H4" s="6"/>
    </row>
    <row r="5" spans="1:8" ht="38.25" x14ac:dyDescent="0.25">
      <c r="A5" s="3" t="s">
        <v>7</v>
      </c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1:8" x14ac:dyDescent="0.25">
      <c r="A6" s="5">
        <v>4.1666666666666664E-2</v>
      </c>
      <c r="B6" s="4">
        <v>189</v>
      </c>
      <c r="C6" s="4">
        <v>174</v>
      </c>
      <c r="D6" s="4">
        <v>173</v>
      </c>
      <c r="E6" s="4">
        <v>187</v>
      </c>
      <c r="F6" s="4">
        <v>217</v>
      </c>
      <c r="G6" s="4">
        <f>AVERAGE(B6:F6)</f>
        <v>188</v>
      </c>
      <c r="H6" s="4">
        <f>_xlfn.STDEV.S(B6:F6)</f>
        <v>17.776388834631177</v>
      </c>
    </row>
    <row r="7" spans="1:8" x14ac:dyDescent="0.25">
      <c r="A7" s="5">
        <v>8.3333333333333329E-2</v>
      </c>
      <c r="B7" s="4">
        <v>112</v>
      </c>
      <c r="C7" s="4">
        <v>114</v>
      </c>
      <c r="D7" s="4">
        <v>97</v>
      </c>
      <c r="E7" s="4">
        <v>130</v>
      </c>
      <c r="F7" s="4">
        <v>134</v>
      </c>
      <c r="G7" s="4">
        <f t="shared" ref="G7:G29" si="0">AVERAGE(B7:F7)</f>
        <v>117.4</v>
      </c>
      <c r="H7" s="4">
        <f t="shared" ref="H7:H29" si="1">_xlfn.STDEV.S(B7:F7)</f>
        <v>14.926486525636207</v>
      </c>
    </row>
    <row r="8" spans="1:8" x14ac:dyDescent="0.25">
      <c r="A8" s="5">
        <v>0.125</v>
      </c>
      <c r="B8" s="4">
        <v>83</v>
      </c>
      <c r="C8" s="4">
        <v>61</v>
      </c>
      <c r="D8" s="4">
        <v>59</v>
      </c>
      <c r="E8" s="4">
        <v>80</v>
      </c>
      <c r="F8" s="4">
        <v>71</v>
      </c>
      <c r="G8" s="4">
        <f t="shared" si="0"/>
        <v>70.8</v>
      </c>
      <c r="H8" s="4">
        <f t="shared" si="1"/>
        <v>10.825894882179478</v>
      </c>
    </row>
    <row r="9" spans="1:8" x14ac:dyDescent="0.25">
      <c r="A9" s="5">
        <v>0.16666666666666666</v>
      </c>
      <c r="B9" s="4">
        <v>34</v>
      </c>
      <c r="C9" s="4">
        <v>48</v>
      </c>
      <c r="D9" s="4">
        <v>63</v>
      </c>
      <c r="E9" s="4">
        <v>58</v>
      </c>
      <c r="F9" s="4">
        <v>66</v>
      </c>
      <c r="G9" s="4">
        <f t="shared" si="0"/>
        <v>53.8</v>
      </c>
      <c r="H9" s="4">
        <f t="shared" si="1"/>
        <v>13.007690033207272</v>
      </c>
    </row>
    <row r="10" spans="1:8" x14ac:dyDescent="0.25">
      <c r="A10" s="5">
        <v>0.20833333333333334</v>
      </c>
      <c r="B10" s="4">
        <v>46</v>
      </c>
      <c r="C10" s="4">
        <v>68</v>
      </c>
      <c r="D10" s="4">
        <v>59</v>
      </c>
      <c r="E10" s="4">
        <v>55</v>
      </c>
      <c r="F10" s="4">
        <v>64</v>
      </c>
      <c r="G10" s="4">
        <f t="shared" si="0"/>
        <v>58.4</v>
      </c>
      <c r="H10" s="4">
        <f t="shared" si="1"/>
        <v>8.5029406677925365</v>
      </c>
    </row>
    <row r="11" spans="1:8" x14ac:dyDescent="0.25">
      <c r="A11" s="5">
        <v>0.25</v>
      </c>
      <c r="B11" s="4">
        <v>110</v>
      </c>
      <c r="C11" s="4">
        <v>114</v>
      </c>
      <c r="D11" s="4">
        <v>103</v>
      </c>
      <c r="E11" s="4">
        <v>111</v>
      </c>
      <c r="F11" s="4">
        <v>103</v>
      </c>
      <c r="G11" s="4">
        <f t="shared" si="0"/>
        <v>108.2</v>
      </c>
      <c r="H11" s="4">
        <f t="shared" si="1"/>
        <v>4.9699094559156709</v>
      </c>
    </row>
    <row r="12" spans="1:8" x14ac:dyDescent="0.25">
      <c r="A12" s="5">
        <v>0.29166666666666669</v>
      </c>
      <c r="B12" s="4">
        <v>307</v>
      </c>
      <c r="C12" s="4">
        <v>312</v>
      </c>
      <c r="D12" s="4">
        <v>298</v>
      </c>
      <c r="E12" s="4">
        <v>342</v>
      </c>
      <c r="F12" s="4">
        <v>355</v>
      </c>
      <c r="G12" s="4">
        <f t="shared" si="0"/>
        <v>322.8</v>
      </c>
      <c r="H12" s="4">
        <f t="shared" si="1"/>
        <v>24.42744358298674</v>
      </c>
    </row>
    <row r="13" spans="1:8" x14ac:dyDescent="0.25">
      <c r="A13" s="5">
        <v>0.33333333333333331</v>
      </c>
      <c r="B13" s="4">
        <v>849</v>
      </c>
      <c r="C13" s="4">
        <v>854</v>
      </c>
      <c r="D13" s="4">
        <v>965</v>
      </c>
      <c r="E13" s="4">
        <v>977</v>
      </c>
      <c r="F13" s="4">
        <v>956</v>
      </c>
      <c r="G13" s="4">
        <f t="shared" si="0"/>
        <v>920.2</v>
      </c>
      <c r="H13" s="4">
        <f t="shared" si="1"/>
        <v>63.179901867603434</v>
      </c>
    </row>
    <row r="14" spans="1:8" x14ac:dyDescent="0.25">
      <c r="A14" s="5">
        <v>0.375</v>
      </c>
      <c r="B14" s="4">
        <v>1383</v>
      </c>
      <c r="C14" s="4">
        <v>1341</v>
      </c>
      <c r="D14" s="4">
        <v>1393</v>
      </c>
      <c r="E14" s="4">
        <v>1405</v>
      </c>
      <c r="F14" s="4">
        <v>1352</v>
      </c>
      <c r="G14" s="4">
        <f t="shared" si="0"/>
        <v>1374.8</v>
      </c>
      <c r="H14" s="4">
        <f t="shared" si="1"/>
        <v>27.26169473822198</v>
      </c>
    </row>
    <row r="15" spans="1:8" x14ac:dyDescent="0.25">
      <c r="A15" s="5">
        <v>0.41666666666666669</v>
      </c>
      <c r="B15" s="4">
        <v>1151</v>
      </c>
      <c r="C15" s="4">
        <v>1201</v>
      </c>
      <c r="D15" s="4">
        <v>1172</v>
      </c>
      <c r="E15" s="4">
        <v>1174</v>
      </c>
      <c r="F15" s="4">
        <v>1208</v>
      </c>
      <c r="G15" s="4">
        <f t="shared" si="0"/>
        <v>1181.2</v>
      </c>
      <c r="H15" s="4">
        <f t="shared" si="1"/>
        <v>23.231444208227778</v>
      </c>
    </row>
    <row r="16" spans="1:8" x14ac:dyDescent="0.25">
      <c r="A16" s="5">
        <v>0.45833333333333331</v>
      </c>
      <c r="B16" s="4">
        <v>1022</v>
      </c>
      <c r="C16" s="4">
        <v>1077</v>
      </c>
      <c r="D16" s="4">
        <v>974</v>
      </c>
      <c r="E16" s="4">
        <v>1087</v>
      </c>
      <c r="F16" s="4">
        <v>1182</v>
      </c>
      <c r="G16" s="4">
        <f t="shared" si="0"/>
        <v>1068.4000000000001</v>
      </c>
      <c r="H16" s="4">
        <f t="shared" si="1"/>
        <v>78.085209867170107</v>
      </c>
    </row>
    <row r="17" spans="1:8" x14ac:dyDescent="0.25">
      <c r="A17" s="5">
        <v>0.5</v>
      </c>
      <c r="B17" s="4">
        <v>1150</v>
      </c>
      <c r="C17" s="4">
        <v>1237</v>
      </c>
      <c r="D17" s="4">
        <v>1115</v>
      </c>
      <c r="E17" s="4">
        <v>1192</v>
      </c>
      <c r="F17" s="4">
        <v>1326</v>
      </c>
      <c r="G17" s="4">
        <f t="shared" si="0"/>
        <v>1204</v>
      </c>
      <c r="H17" s="4">
        <f t="shared" si="1"/>
        <v>82.088367019937721</v>
      </c>
    </row>
    <row r="18" spans="1:8" x14ac:dyDescent="0.25">
      <c r="A18" s="5">
        <v>0.54166666666666663</v>
      </c>
      <c r="B18" s="4">
        <v>1152</v>
      </c>
      <c r="C18" s="4">
        <v>1201</v>
      </c>
      <c r="D18" s="4">
        <v>1267</v>
      </c>
      <c r="E18" s="4">
        <v>1231</v>
      </c>
      <c r="F18" s="4">
        <v>1350</v>
      </c>
      <c r="G18" s="4">
        <f t="shared" si="0"/>
        <v>1240.2</v>
      </c>
      <c r="H18" s="4">
        <f t="shared" si="1"/>
        <v>74.456027291281131</v>
      </c>
    </row>
    <row r="19" spans="1:8" x14ac:dyDescent="0.25">
      <c r="A19" s="5">
        <v>0.58333333333333337</v>
      </c>
      <c r="B19" s="4">
        <v>1259</v>
      </c>
      <c r="C19" s="4">
        <v>1377</v>
      </c>
      <c r="D19" s="4">
        <v>1351</v>
      </c>
      <c r="E19" s="4">
        <v>1309</v>
      </c>
      <c r="F19" s="4">
        <v>1421</v>
      </c>
      <c r="G19" s="4">
        <f t="shared" si="0"/>
        <v>1343.4</v>
      </c>
      <c r="H19" s="4">
        <f t="shared" si="1"/>
        <v>62.280012845213832</v>
      </c>
    </row>
    <row r="20" spans="1:8" x14ac:dyDescent="0.25">
      <c r="A20" s="5">
        <v>0.625</v>
      </c>
      <c r="B20" s="4">
        <v>1395</v>
      </c>
      <c r="C20" s="4">
        <v>1420</v>
      </c>
      <c r="D20" s="4">
        <v>1257</v>
      </c>
      <c r="E20" s="4">
        <v>1347</v>
      </c>
      <c r="F20" s="4">
        <v>1525</v>
      </c>
      <c r="G20" s="4">
        <f t="shared" si="0"/>
        <v>1388.8</v>
      </c>
      <c r="H20" s="4">
        <f t="shared" si="1"/>
        <v>98.337175066197631</v>
      </c>
    </row>
    <row r="21" spans="1:8" x14ac:dyDescent="0.25">
      <c r="A21" s="5">
        <v>0.66666666666666663</v>
      </c>
      <c r="B21" s="4">
        <v>1359</v>
      </c>
      <c r="C21" s="4">
        <v>1420</v>
      </c>
      <c r="D21" s="4">
        <v>1295</v>
      </c>
      <c r="E21" s="4">
        <v>1341</v>
      </c>
      <c r="F21" s="4">
        <v>1646</v>
      </c>
      <c r="G21" s="4">
        <f t="shared" si="0"/>
        <v>1412.2</v>
      </c>
      <c r="H21" s="4">
        <f t="shared" si="1"/>
        <v>138.16548049350098</v>
      </c>
    </row>
    <row r="22" spans="1:8" x14ac:dyDescent="0.25">
      <c r="A22" s="5">
        <v>0.70833333333333337</v>
      </c>
      <c r="B22" s="4">
        <v>1494</v>
      </c>
      <c r="C22" s="4">
        <v>1531</v>
      </c>
      <c r="D22" s="4">
        <v>1442</v>
      </c>
      <c r="E22" s="4">
        <v>1376</v>
      </c>
      <c r="F22" s="4">
        <v>1810</v>
      </c>
      <c r="G22" s="4">
        <f t="shared" si="0"/>
        <v>1530.6</v>
      </c>
      <c r="H22" s="4">
        <f t="shared" si="1"/>
        <v>166.69973005377062</v>
      </c>
    </row>
    <row r="23" spans="1:8" x14ac:dyDescent="0.25">
      <c r="A23" s="5">
        <v>0.75</v>
      </c>
      <c r="B23" s="4">
        <v>1772</v>
      </c>
      <c r="C23" s="4">
        <v>1817</v>
      </c>
      <c r="D23" s="4">
        <v>1652</v>
      </c>
      <c r="E23" s="4">
        <v>1740</v>
      </c>
      <c r="F23" s="4">
        <v>1712</v>
      </c>
      <c r="G23" s="4">
        <f t="shared" si="0"/>
        <v>1738.6</v>
      </c>
      <c r="H23" s="4">
        <f t="shared" si="1"/>
        <v>62.191639309476322</v>
      </c>
    </row>
    <row r="24" spans="1:8" x14ac:dyDescent="0.25">
      <c r="A24" s="5">
        <v>0.79166666666666663</v>
      </c>
      <c r="B24" s="4">
        <v>1472</v>
      </c>
      <c r="C24" s="4">
        <v>1618</v>
      </c>
      <c r="D24" s="4">
        <v>1267</v>
      </c>
      <c r="E24" s="4">
        <v>1496</v>
      </c>
      <c r="F24" s="4">
        <v>1368</v>
      </c>
      <c r="G24" s="4">
        <f t="shared" si="0"/>
        <v>1444.2</v>
      </c>
      <c r="H24" s="4">
        <f t="shared" si="1"/>
        <v>133.10597281865304</v>
      </c>
    </row>
    <row r="25" spans="1:8" x14ac:dyDescent="0.25">
      <c r="A25" s="5">
        <v>0.83333333333333337</v>
      </c>
      <c r="B25" s="4">
        <v>1263</v>
      </c>
      <c r="C25" s="4">
        <v>1224</v>
      </c>
      <c r="D25" s="4">
        <v>1229</v>
      </c>
      <c r="E25" s="4">
        <v>1331</v>
      </c>
      <c r="F25" s="4">
        <v>1191</v>
      </c>
      <c r="G25" s="4">
        <f t="shared" si="0"/>
        <v>1247.5999999999999</v>
      </c>
      <c r="H25" s="4">
        <f t="shared" si="1"/>
        <v>53.148847588635448</v>
      </c>
    </row>
    <row r="26" spans="1:8" x14ac:dyDescent="0.25">
      <c r="A26" s="5">
        <v>0.875</v>
      </c>
      <c r="B26" s="4">
        <v>1034</v>
      </c>
      <c r="C26" s="4">
        <v>1098</v>
      </c>
      <c r="D26" s="4">
        <v>1129</v>
      </c>
      <c r="E26" s="4">
        <v>1075</v>
      </c>
      <c r="F26" s="4">
        <v>1117</v>
      </c>
      <c r="G26" s="4">
        <f t="shared" si="0"/>
        <v>1090.5999999999999</v>
      </c>
      <c r="H26" s="4">
        <f t="shared" si="1"/>
        <v>37.660323949748488</v>
      </c>
    </row>
    <row r="27" spans="1:8" x14ac:dyDescent="0.25">
      <c r="A27" s="5">
        <v>0.91666666666666663</v>
      </c>
      <c r="B27" s="4">
        <v>703</v>
      </c>
      <c r="C27" s="4">
        <v>710</v>
      </c>
      <c r="D27" s="4">
        <v>880</v>
      </c>
      <c r="E27" s="4">
        <v>785</v>
      </c>
      <c r="F27" s="4">
        <v>871</v>
      </c>
      <c r="G27" s="4">
        <f t="shared" si="0"/>
        <v>789.8</v>
      </c>
      <c r="H27" s="4">
        <f t="shared" si="1"/>
        <v>84.638643656429181</v>
      </c>
    </row>
    <row r="28" spans="1:8" x14ac:dyDescent="0.25">
      <c r="A28" s="5">
        <v>0.95833333333333337</v>
      </c>
      <c r="B28" s="4">
        <v>455</v>
      </c>
      <c r="C28" s="4">
        <v>501</v>
      </c>
      <c r="D28" s="4">
        <v>543</v>
      </c>
      <c r="E28" s="4">
        <v>601</v>
      </c>
      <c r="F28" s="4">
        <v>641</v>
      </c>
      <c r="G28" s="4">
        <f t="shared" si="0"/>
        <v>548.20000000000005</v>
      </c>
      <c r="H28" s="4">
        <f t="shared" si="1"/>
        <v>74.734195653663207</v>
      </c>
    </row>
    <row r="29" spans="1:8" x14ac:dyDescent="0.25">
      <c r="A29" s="13">
        <v>0</v>
      </c>
      <c r="B29" s="4">
        <v>256</v>
      </c>
      <c r="C29" s="4">
        <v>302</v>
      </c>
      <c r="D29" s="4">
        <v>348</v>
      </c>
      <c r="E29" s="4">
        <v>369</v>
      </c>
      <c r="F29" s="4">
        <v>479</v>
      </c>
      <c r="G29" s="4">
        <f t="shared" si="0"/>
        <v>350.8</v>
      </c>
      <c r="H29" s="4">
        <f t="shared" si="1"/>
        <v>83.879079632528232</v>
      </c>
    </row>
    <row r="30" spans="1:8" x14ac:dyDescent="0.25">
      <c r="H30" s="1">
        <f>AVERAGE(H14:H26)</f>
        <v>79.747071173079632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0D36-CFE6-4FE2-82B5-58780FDEE712}">
  <dimension ref="A1:C25"/>
  <sheetViews>
    <sheetView workbookViewId="0">
      <selection activeCell="N12" sqref="N12"/>
    </sheetView>
  </sheetViews>
  <sheetFormatPr defaultRowHeight="15" x14ac:dyDescent="0.25"/>
  <cols>
    <col min="1" max="1" width="9.42578125" bestFit="1" customWidth="1"/>
    <col min="2" max="2" width="9.7109375" bestFit="1" customWidth="1"/>
    <col min="3" max="3" width="14.140625" bestFit="1" customWidth="1"/>
  </cols>
  <sheetData>
    <row r="1" spans="1:3" ht="30.75" customHeight="1" x14ac:dyDescent="0.25">
      <c r="A1" s="8" t="s">
        <v>7</v>
      </c>
      <c r="B1" s="9" t="s">
        <v>12</v>
      </c>
      <c r="C1" s="9" t="s">
        <v>13</v>
      </c>
    </row>
    <row r="2" spans="1:3" x14ac:dyDescent="0.25">
      <c r="A2" s="10">
        <v>4.1666666666666664E-2</v>
      </c>
      <c r="B2" s="11">
        <v>366</v>
      </c>
      <c r="C2" s="11">
        <v>356</v>
      </c>
    </row>
    <row r="3" spans="1:3" x14ac:dyDescent="0.25">
      <c r="A3" s="10">
        <v>8.3333333333333329E-2</v>
      </c>
      <c r="B3" s="11">
        <v>230</v>
      </c>
      <c r="C3" s="11">
        <v>245</v>
      </c>
    </row>
    <row r="4" spans="1:3" x14ac:dyDescent="0.25">
      <c r="A4" s="10">
        <v>0.125</v>
      </c>
      <c r="B4" s="11">
        <v>165</v>
      </c>
      <c r="C4" s="11">
        <v>212</v>
      </c>
    </row>
    <row r="5" spans="1:3" x14ac:dyDescent="0.25">
      <c r="A5" s="10">
        <v>0.16666666666666666</v>
      </c>
      <c r="B5" s="11">
        <v>123</v>
      </c>
      <c r="C5" s="11">
        <v>166</v>
      </c>
    </row>
    <row r="6" spans="1:3" x14ac:dyDescent="0.25">
      <c r="A6" s="10">
        <v>0.20833333333333334</v>
      </c>
      <c r="B6" s="11">
        <v>98</v>
      </c>
      <c r="C6" s="11">
        <v>114</v>
      </c>
    </row>
    <row r="7" spans="1:3" x14ac:dyDescent="0.25">
      <c r="A7" s="10">
        <v>0.25</v>
      </c>
      <c r="B7" s="11">
        <v>120</v>
      </c>
      <c r="C7" s="11">
        <v>110</v>
      </c>
    </row>
    <row r="8" spans="1:3" x14ac:dyDescent="0.25">
      <c r="A8" s="10">
        <v>0.29166666666666669</v>
      </c>
      <c r="B8" s="11">
        <v>192</v>
      </c>
      <c r="C8" s="11">
        <v>178</v>
      </c>
    </row>
    <row r="9" spans="1:3" x14ac:dyDescent="0.25">
      <c r="A9" s="10">
        <v>0.33333333333333331</v>
      </c>
      <c r="B9" s="11">
        <v>417</v>
      </c>
      <c r="C9" s="11">
        <v>252</v>
      </c>
    </row>
    <row r="10" spans="1:3" x14ac:dyDescent="0.25">
      <c r="A10" s="10">
        <v>0.375</v>
      </c>
      <c r="B10" s="11">
        <v>608</v>
      </c>
      <c r="C10" s="11">
        <v>389</v>
      </c>
    </row>
    <row r="11" spans="1:3" x14ac:dyDescent="0.25">
      <c r="A11" s="10">
        <v>0.41666666666666669</v>
      </c>
      <c r="B11" s="11">
        <v>835</v>
      </c>
      <c r="C11" s="11">
        <v>559</v>
      </c>
    </row>
    <row r="12" spans="1:3" x14ac:dyDescent="0.25">
      <c r="A12" s="10">
        <v>0.45833333333333331</v>
      </c>
      <c r="B12" s="11">
        <v>832</v>
      </c>
      <c r="C12" s="11">
        <v>667</v>
      </c>
    </row>
    <row r="13" spans="1:3" x14ac:dyDescent="0.25">
      <c r="A13" s="10">
        <v>0.5</v>
      </c>
      <c r="B13" s="11">
        <v>1152</v>
      </c>
      <c r="C13" s="11">
        <v>851</v>
      </c>
    </row>
    <row r="14" spans="1:3" x14ac:dyDescent="0.25">
      <c r="A14" s="10">
        <v>0.54166666666666663</v>
      </c>
      <c r="B14" s="11">
        <v>1304</v>
      </c>
      <c r="C14" s="11">
        <v>966</v>
      </c>
    </row>
    <row r="15" spans="1:3" x14ac:dyDescent="0.25">
      <c r="A15" s="10">
        <v>0.58333333333333337</v>
      </c>
      <c r="B15" s="11">
        <v>1311</v>
      </c>
      <c r="C15" s="11">
        <v>1016</v>
      </c>
    </row>
    <row r="16" spans="1:3" x14ac:dyDescent="0.25">
      <c r="A16" s="10">
        <v>0.625</v>
      </c>
      <c r="B16" s="11">
        <v>1182</v>
      </c>
      <c r="C16" s="11">
        <v>1046</v>
      </c>
    </row>
    <row r="17" spans="1:3" x14ac:dyDescent="0.25">
      <c r="A17" s="10">
        <v>0.66666666666666663</v>
      </c>
      <c r="B17" s="11">
        <v>1256</v>
      </c>
      <c r="C17" s="11">
        <v>1077</v>
      </c>
    </row>
    <row r="18" spans="1:3" x14ac:dyDescent="0.25">
      <c r="A18" s="10">
        <v>0.70833333333333337</v>
      </c>
      <c r="B18" s="11">
        <v>1172</v>
      </c>
      <c r="C18" s="11">
        <v>982</v>
      </c>
    </row>
    <row r="19" spans="1:3" x14ac:dyDescent="0.25">
      <c r="A19" s="10">
        <v>0.75</v>
      </c>
      <c r="B19" s="11">
        <v>1032</v>
      </c>
      <c r="C19" s="11">
        <v>942</v>
      </c>
    </row>
    <row r="20" spans="1:3" x14ac:dyDescent="0.25">
      <c r="A20" s="10">
        <v>0.79166666666666663</v>
      </c>
      <c r="B20" s="11">
        <v>1033</v>
      </c>
      <c r="C20" s="11">
        <v>885</v>
      </c>
    </row>
    <row r="21" spans="1:3" x14ac:dyDescent="0.25">
      <c r="A21" s="10">
        <v>0.83333333333333337</v>
      </c>
      <c r="B21" s="11">
        <v>934</v>
      </c>
      <c r="C21" s="11">
        <v>889</v>
      </c>
    </row>
    <row r="22" spans="1:3" x14ac:dyDescent="0.25">
      <c r="A22" s="10">
        <v>0.875</v>
      </c>
      <c r="B22" s="11">
        <v>986</v>
      </c>
      <c r="C22" s="11">
        <v>832</v>
      </c>
    </row>
    <row r="23" spans="1:3" x14ac:dyDescent="0.25">
      <c r="A23" s="10">
        <v>0.91666666666666663</v>
      </c>
      <c r="B23" s="11">
        <v>753</v>
      </c>
      <c r="C23" s="11">
        <v>700</v>
      </c>
    </row>
    <row r="24" spans="1:3" x14ac:dyDescent="0.25">
      <c r="A24" s="10">
        <v>0.95833333333333337</v>
      </c>
      <c r="B24" s="11">
        <v>626</v>
      </c>
      <c r="C24" s="11">
        <v>524</v>
      </c>
    </row>
    <row r="25" spans="1:3" x14ac:dyDescent="0.25">
      <c r="A25" s="12">
        <v>1</v>
      </c>
      <c r="B25" s="11">
        <v>521</v>
      </c>
      <c r="C25" s="11">
        <v>435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14FA-21D1-40DB-BFAC-83E2681BE0E9}">
  <dimension ref="A1:A8"/>
  <sheetViews>
    <sheetView tabSelected="1" zoomScaleNormal="100" workbookViewId="0">
      <selection activeCell="B13" sqref="B13"/>
    </sheetView>
  </sheetViews>
  <sheetFormatPr defaultRowHeight="15" x14ac:dyDescent="0.25"/>
  <cols>
    <col min="1" max="1" width="73" customWidth="1"/>
  </cols>
  <sheetData>
    <row r="1" spans="1:1" ht="112.5" customHeight="1" x14ac:dyDescent="0.25">
      <c r="A1" s="14" t="s">
        <v>14</v>
      </c>
    </row>
    <row r="2" spans="1:1" ht="51.75" x14ac:dyDescent="0.25">
      <c r="A2" s="14" t="s">
        <v>15</v>
      </c>
    </row>
    <row r="3" spans="1:1" ht="51.75" x14ac:dyDescent="0.25">
      <c r="A3" s="14" t="s">
        <v>16</v>
      </c>
    </row>
    <row r="4" spans="1:1" ht="69" x14ac:dyDescent="0.25">
      <c r="A4" s="15" t="s">
        <v>17</v>
      </c>
    </row>
    <row r="6" spans="1:1" ht="17.25" x14ac:dyDescent="0.3">
      <c r="A6" s="2" t="s">
        <v>18</v>
      </c>
    </row>
    <row r="7" spans="1:1" ht="17.25" x14ac:dyDescent="0.3">
      <c r="A7" s="2" t="s">
        <v>20</v>
      </c>
    </row>
    <row r="8" spans="1:1" x14ac:dyDescent="0.25">
      <c r="A8" s="16" t="s">
        <v>19</v>
      </c>
    </row>
  </sheetData>
  <hyperlinks>
    <hyperlink ref="A8" r:id="rId1" display="https://github.com/Kango911/dosusu2sem" xr:uid="{B90E324D-A328-4597-9BA6-41C6D3AD2C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Раб день</vt:lpstr>
      <vt:lpstr>Выход день</vt:lpstr>
      <vt:lpstr>Отчет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Lipenkov</dc:creator>
  <cp:lastModifiedBy>Alex Lipenkov</cp:lastModifiedBy>
  <dcterms:created xsi:type="dcterms:W3CDTF">2015-06-05T18:19:34Z</dcterms:created>
  <dcterms:modified xsi:type="dcterms:W3CDTF">2026-05-12T19:38:36Z</dcterms:modified>
</cp:coreProperties>
</file>