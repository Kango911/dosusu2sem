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lipen\PycharmProjects\dosusu2sem\block5\task2\"/>
    </mc:Choice>
  </mc:AlternateContent>
  <xr:revisionPtr revIDLastSave="0" documentId="13_ncr:1_{2AC88C8D-A7D6-4525-881F-4F91CA7FCEA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раб день" sheetId="1" r:id="rId1"/>
    <sheet name="вых день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sharedStrings.xml><?xml version="1.0" encoding="utf-8"?>
<sst xmlns="http://schemas.openxmlformats.org/spreadsheetml/2006/main" count="41" uniqueCount="16">
  <si>
    <t>E</t>
  </si>
  <si>
    <t>N</t>
  </si>
  <si>
    <t>S</t>
  </si>
  <si>
    <t>W</t>
  </si>
  <si>
    <t>Время</t>
  </si>
  <si>
    <t>Среднее</t>
  </si>
  <si>
    <t>СтандОткл</t>
  </si>
  <si>
    <t>1.</t>
  </si>
  <si>
    <t>2.</t>
  </si>
  <si>
    <t>Наиболее похожие направления – N и S в первой половине дня, а также S и W в целом (коэффициенты корреляции ниже)</t>
  </si>
  <si>
    <t>Направление, наиболее отличающееся от других – E (восток). В часы 15:00–17:00 его значения выше остальных на 80–120 ТС. Однако разница меньше, чем в рабочий день</t>
  </si>
  <si>
    <t>N (север). Оно имеет ярко выраженный утренний пик, тогда как остальные направления имеют вечерний пик. В часы 08:00–09:00 разница между N и другими достигает 400–500 ТС.</t>
  </si>
  <si>
    <t>S и W (юг и запад). Их графики почти синхронны: утренний рост, небольшой вечерний пик, причём значения близки на протяжении всего дня. Также E и среднее близки, потому что E – одно из самых активных направлений</t>
  </si>
  <si>
    <t>σ = 146,6</t>
  </si>
  <si>
    <t>ср+σ=</t>
  </si>
  <si>
    <t>ср-σ=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</si>
</sst>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  <font>
      <sz val="12"/>
      <color rgb="FF0F1115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left" vertical="center" wrapText="1" indent="1"/>
    </xf>
    <xf numFmtId="20" fontId="3" fillId="2" borderId="1" xfId="0" applyNumberFormat="1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46" fontId="3" fillId="2" borderId="1" xfId="0" applyNumberFormat="1" applyFont="1" applyFill="1" applyBorder="1" applyAlignment="1">
      <alignment horizontal="left" vertical="center" wrapText="1" indent="1"/>
    </xf>
    <xf numFmtId="0" fontId="4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'раб день'!$B$1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'раб день'!$A$2:$A$25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0.79166666666666663</c:v>
                </c:pt>
                <c:pt idx="19">
                  <c:v>0.83333333333333337</c:v>
                </c:pt>
                <c:pt idx="20">
                  <c:v>0.875</c:v>
                </c:pt>
                <c:pt idx="21">
                  <c:v>0.91666666666666663</c:v>
                </c:pt>
                <c:pt idx="22">
                  <c:v>0.95833333333333337</c:v>
                </c:pt>
                <c:pt idx="23" formatCode="[h]:mm:ss">
                  <c:v>1</c:v>
                </c:pt>
              </c:numCache>
            </c:numRef>
          </c:cat>
          <c:val>
            <c:numRef>
              <c:f>'раб день'!$B$2:$B$25</c:f>
              <c:numCache>
                <c:formatCode>General</c:formatCode>
                <c:ptCount val="24"/>
                <c:pt idx="0">
                  <c:v>173</c:v>
                </c:pt>
                <c:pt idx="1">
                  <c:v>97</c:v>
                </c:pt>
                <c:pt idx="2">
                  <c:v>59</c:v>
                </c:pt>
                <c:pt idx="3">
                  <c:v>63</c:v>
                </c:pt>
                <c:pt idx="4">
                  <c:v>59</c:v>
                </c:pt>
                <c:pt idx="5">
                  <c:v>103</c:v>
                </c:pt>
                <c:pt idx="6">
                  <c:v>298</c:v>
                </c:pt>
                <c:pt idx="7">
                  <c:v>965</c:v>
                </c:pt>
                <c:pt idx="8">
                  <c:v>1393</c:v>
                </c:pt>
                <c:pt idx="9">
                  <c:v>1172</c:v>
                </c:pt>
                <c:pt idx="10">
                  <c:v>974</c:v>
                </c:pt>
                <c:pt idx="11">
                  <c:v>1115</c:v>
                </c:pt>
                <c:pt idx="12">
                  <c:v>1267</c:v>
                </c:pt>
                <c:pt idx="13">
                  <c:v>1351</c:v>
                </c:pt>
                <c:pt idx="14">
                  <c:v>1257</c:v>
                </c:pt>
                <c:pt idx="15">
                  <c:v>1295</c:v>
                </c:pt>
                <c:pt idx="16">
                  <c:v>1442</c:v>
                </c:pt>
                <c:pt idx="17">
                  <c:v>1652</c:v>
                </c:pt>
                <c:pt idx="18">
                  <c:v>1267</c:v>
                </c:pt>
                <c:pt idx="19">
                  <c:v>1229</c:v>
                </c:pt>
                <c:pt idx="20">
                  <c:v>1129</c:v>
                </c:pt>
                <c:pt idx="21">
                  <c:v>880</c:v>
                </c:pt>
                <c:pt idx="22">
                  <c:v>543</c:v>
                </c:pt>
                <c:pt idx="23">
                  <c:v>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0-408B-A60C-495F98BB5F18}"/>
            </c:ext>
          </c:extLst>
        </c:ser>
        <c:ser>
          <c:idx val="1"/>
          <c:order val="1"/>
          <c:tx>
            <c:strRef>
              <c:f>'раб день'!$C$1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'раб день'!$A$2:$A$25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0.79166666666666663</c:v>
                </c:pt>
                <c:pt idx="19">
                  <c:v>0.83333333333333337</c:v>
                </c:pt>
                <c:pt idx="20">
                  <c:v>0.875</c:v>
                </c:pt>
                <c:pt idx="21">
                  <c:v>0.91666666666666663</c:v>
                </c:pt>
                <c:pt idx="22">
                  <c:v>0.95833333333333337</c:v>
                </c:pt>
                <c:pt idx="23" formatCode="[h]:mm:ss">
                  <c:v>1</c:v>
                </c:pt>
              </c:numCache>
            </c:numRef>
          </c:cat>
          <c:val>
            <c:numRef>
              <c:f>'раб день'!$C$2:$C$25</c:f>
              <c:numCache>
                <c:formatCode>General</c:formatCode>
                <c:ptCount val="24"/>
                <c:pt idx="0">
                  <c:v>115</c:v>
                </c:pt>
                <c:pt idx="1">
                  <c:v>73</c:v>
                </c:pt>
                <c:pt idx="2">
                  <c:v>55</c:v>
                </c:pt>
                <c:pt idx="3">
                  <c:v>36</c:v>
                </c:pt>
                <c:pt idx="4">
                  <c:v>35</c:v>
                </c:pt>
                <c:pt idx="5">
                  <c:v>113</c:v>
                </c:pt>
                <c:pt idx="6">
                  <c:v>499</c:v>
                </c:pt>
                <c:pt idx="7">
                  <c:v>1426</c:v>
                </c:pt>
                <c:pt idx="8">
                  <c:v>1404</c:v>
                </c:pt>
                <c:pt idx="9">
                  <c:v>1132</c:v>
                </c:pt>
                <c:pt idx="10">
                  <c:v>1008</c:v>
                </c:pt>
                <c:pt idx="11">
                  <c:v>996</c:v>
                </c:pt>
                <c:pt idx="12">
                  <c:v>913</c:v>
                </c:pt>
                <c:pt idx="13">
                  <c:v>992</c:v>
                </c:pt>
                <c:pt idx="14">
                  <c:v>766</c:v>
                </c:pt>
                <c:pt idx="15">
                  <c:v>768</c:v>
                </c:pt>
                <c:pt idx="16">
                  <c:v>790</c:v>
                </c:pt>
                <c:pt idx="17">
                  <c:v>981</c:v>
                </c:pt>
                <c:pt idx="18">
                  <c:v>970</c:v>
                </c:pt>
                <c:pt idx="19">
                  <c:v>852</c:v>
                </c:pt>
                <c:pt idx="20">
                  <c:v>836</c:v>
                </c:pt>
                <c:pt idx="21">
                  <c:v>697</c:v>
                </c:pt>
                <c:pt idx="22">
                  <c:v>404</c:v>
                </c:pt>
                <c:pt idx="23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D0-408B-A60C-495F98BB5F18}"/>
            </c:ext>
          </c:extLst>
        </c:ser>
        <c:ser>
          <c:idx val="2"/>
          <c:order val="2"/>
          <c:tx>
            <c:strRef>
              <c:f>'раб день'!$D$1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'раб день'!$A$2:$A$25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0.79166666666666663</c:v>
                </c:pt>
                <c:pt idx="19">
                  <c:v>0.83333333333333337</c:v>
                </c:pt>
                <c:pt idx="20">
                  <c:v>0.875</c:v>
                </c:pt>
                <c:pt idx="21">
                  <c:v>0.91666666666666663</c:v>
                </c:pt>
                <c:pt idx="22">
                  <c:v>0.95833333333333337</c:v>
                </c:pt>
                <c:pt idx="23" formatCode="[h]:mm:ss">
                  <c:v>1</c:v>
                </c:pt>
              </c:numCache>
            </c:numRef>
          </c:cat>
          <c:val>
            <c:numRef>
              <c:f>'раб день'!$D$2:$D$25</c:f>
              <c:numCache>
                <c:formatCode>General</c:formatCode>
                <c:ptCount val="24"/>
                <c:pt idx="0">
                  <c:v>75</c:v>
                </c:pt>
                <c:pt idx="1">
                  <c:v>71</c:v>
                </c:pt>
                <c:pt idx="2">
                  <c:v>35</c:v>
                </c:pt>
                <c:pt idx="3">
                  <c:v>24</c:v>
                </c:pt>
                <c:pt idx="4">
                  <c:v>26</c:v>
                </c:pt>
                <c:pt idx="5">
                  <c:v>39</c:v>
                </c:pt>
                <c:pt idx="6">
                  <c:v>180</c:v>
                </c:pt>
                <c:pt idx="7">
                  <c:v>697</c:v>
                </c:pt>
                <c:pt idx="8">
                  <c:v>1015</c:v>
                </c:pt>
                <c:pt idx="9">
                  <c:v>921</c:v>
                </c:pt>
                <c:pt idx="10">
                  <c:v>782</c:v>
                </c:pt>
                <c:pt idx="11">
                  <c:v>811</c:v>
                </c:pt>
                <c:pt idx="12">
                  <c:v>829</c:v>
                </c:pt>
                <c:pt idx="13">
                  <c:v>872</c:v>
                </c:pt>
                <c:pt idx="14">
                  <c:v>883</c:v>
                </c:pt>
                <c:pt idx="15">
                  <c:v>560</c:v>
                </c:pt>
                <c:pt idx="16">
                  <c:v>896</c:v>
                </c:pt>
                <c:pt idx="17">
                  <c:v>1081</c:v>
                </c:pt>
                <c:pt idx="18">
                  <c:v>1032</c:v>
                </c:pt>
                <c:pt idx="19">
                  <c:v>726</c:v>
                </c:pt>
                <c:pt idx="20">
                  <c:v>609</c:v>
                </c:pt>
                <c:pt idx="21">
                  <c:v>442</c:v>
                </c:pt>
                <c:pt idx="22">
                  <c:v>235</c:v>
                </c:pt>
                <c:pt idx="23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D0-408B-A60C-495F98BB5F18}"/>
            </c:ext>
          </c:extLst>
        </c:ser>
        <c:ser>
          <c:idx val="3"/>
          <c:order val="3"/>
          <c:tx>
            <c:strRef>
              <c:f>'раб день'!$E$1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'раб день'!$A$2:$A$25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0.79166666666666663</c:v>
                </c:pt>
                <c:pt idx="19">
                  <c:v>0.83333333333333337</c:v>
                </c:pt>
                <c:pt idx="20">
                  <c:v>0.875</c:v>
                </c:pt>
                <c:pt idx="21">
                  <c:v>0.91666666666666663</c:v>
                </c:pt>
                <c:pt idx="22">
                  <c:v>0.95833333333333337</c:v>
                </c:pt>
                <c:pt idx="23" formatCode="[h]:mm:ss">
                  <c:v>1</c:v>
                </c:pt>
              </c:numCache>
            </c:numRef>
          </c:cat>
          <c:val>
            <c:numRef>
              <c:f>'раб день'!$E$2:$E$25</c:f>
              <c:numCache>
                <c:formatCode>General</c:formatCode>
                <c:ptCount val="24"/>
                <c:pt idx="0">
                  <c:v>128</c:v>
                </c:pt>
                <c:pt idx="1">
                  <c:v>119</c:v>
                </c:pt>
                <c:pt idx="2">
                  <c:v>59</c:v>
                </c:pt>
                <c:pt idx="3">
                  <c:v>48</c:v>
                </c:pt>
                <c:pt idx="4">
                  <c:v>41</c:v>
                </c:pt>
                <c:pt idx="5">
                  <c:v>61</c:v>
                </c:pt>
                <c:pt idx="6">
                  <c:v>335</c:v>
                </c:pt>
                <c:pt idx="7">
                  <c:v>922</c:v>
                </c:pt>
                <c:pt idx="8">
                  <c:v>1200</c:v>
                </c:pt>
                <c:pt idx="9">
                  <c:v>1075</c:v>
                </c:pt>
                <c:pt idx="10">
                  <c:v>912</c:v>
                </c:pt>
                <c:pt idx="11">
                  <c:v>931</c:v>
                </c:pt>
                <c:pt idx="12">
                  <c:v>845</c:v>
                </c:pt>
                <c:pt idx="13">
                  <c:v>840</c:v>
                </c:pt>
                <c:pt idx="14">
                  <c:v>610</c:v>
                </c:pt>
                <c:pt idx="15">
                  <c:v>824</c:v>
                </c:pt>
                <c:pt idx="16">
                  <c:v>1013</c:v>
                </c:pt>
                <c:pt idx="17">
                  <c:v>1306</c:v>
                </c:pt>
                <c:pt idx="18">
                  <c:v>1104</c:v>
                </c:pt>
                <c:pt idx="19">
                  <c:v>834</c:v>
                </c:pt>
                <c:pt idx="20">
                  <c:v>805</c:v>
                </c:pt>
                <c:pt idx="21">
                  <c:v>621</c:v>
                </c:pt>
                <c:pt idx="22">
                  <c:v>421</c:v>
                </c:pt>
                <c:pt idx="23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D0-408B-A60C-495F98BB5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4499199"/>
        <c:axId val="2024482143"/>
      </c:barChart>
      <c:lineChart>
        <c:grouping val="standard"/>
        <c:varyColors val="0"/>
        <c:ser>
          <c:idx val="4"/>
          <c:order val="4"/>
          <c:tx>
            <c:strRef>
              <c:f>'раб день'!$F$1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'раб день'!$A$2:$A$25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0.79166666666666663</c:v>
                </c:pt>
                <c:pt idx="19">
                  <c:v>0.83333333333333337</c:v>
                </c:pt>
                <c:pt idx="20">
                  <c:v>0.875</c:v>
                </c:pt>
                <c:pt idx="21">
                  <c:v>0.91666666666666663</c:v>
                </c:pt>
                <c:pt idx="22">
                  <c:v>0.95833333333333337</c:v>
                </c:pt>
                <c:pt idx="23" formatCode="[h]:mm:ss">
                  <c:v>1</c:v>
                </c:pt>
              </c:numCache>
            </c:numRef>
          </c:cat>
          <c:val>
            <c:numRef>
              <c:f>'раб день'!$F$2:$F$25</c:f>
              <c:numCache>
                <c:formatCode>General</c:formatCode>
                <c:ptCount val="24"/>
                <c:pt idx="0">
                  <c:v>122.75</c:v>
                </c:pt>
                <c:pt idx="1">
                  <c:v>90</c:v>
                </c:pt>
                <c:pt idx="2">
                  <c:v>52</c:v>
                </c:pt>
                <c:pt idx="3">
                  <c:v>42.75</c:v>
                </c:pt>
                <c:pt idx="4">
                  <c:v>40.25</c:v>
                </c:pt>
                <c:pt idx="5">
                  <c:v>79</c:v>
                </c:pt>
                <c:pt idx="6">
                  <c:v>328</c:v>
                </c:pt>
                <c:pt idx="7">
                  <c:v>1002.5</c:v>
                </c:pt>
                <c:pt idx="8">
                  <c:v>1253</c:v>
                </c:pt>
                <c:pt idx="9">
                  <c:v>1075</c:v>
                </c:pt>
                <c:pt idx="10">
                  <c:v>919</c:v>
                </c:pt>
                <c:pt idx="11">
                  <c:v>963.25</c:v>
                </c:pt>
                <c:pt idx="12">
                  <c:v>963.5</c:v>
                </c:pt>
                <c:pt idx="13">
                  <c:v>1013.75</c:v>
                </c:pt>
                <c:pt idx="14">
                  <c:v>879</c:v>
                </c:pt>
                <c:pt idx="15">
                  <c:v>861.75</c:v>
                </c:pt>
                <c:pt idx="16">
                  <c:v>1035.25</c:v>
                </c:pt>
                <c:pt idx="17">
                  <c:v>1255</c:v>
                </c:pt>
                <c:pt idx="18">
                  <c:v>1093.25</c:v>
                </c:pt>
                <c:pt idx="19">
                  <c:v>910.25</c:v>
                </c:pt>
                <c:pt idx="20">
                  <c:v>844.75</c:v>
                </c:pt>
                <c:pt idx="21">
                  <c:v>660</c:v>
                </c:pt>
                <c:pt idx="22">
                  <c:v>400.75</c:v>
                </c:pt>
                <c:pt idx="23">
                  <c:v>245.5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D0-408B-A60C-495F98BB5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4499199"/>
        <c:axId val="2024482143"/>
      </c:lineChart>
      <c:catAx>
        <c:axId val="202449919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4482143"/>
        <c:crosses val="autoZero"/>
        <c:auto val="1"/>
        <c:lblAlgn val="ctr"/>
        <c:lblOffset val="100"/>
        <c:noMultiLvlLbl val="0"/>
      </c:catAx>
      <c:valAx>
        <c:axId val="202448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449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'вых день'!$B$1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'вых день'!$A$2:$A$25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0.79166666666666663</c:v>
                </c:pt>
                <c:pt idx="19">
                  <c:v>0.83333333333333337</c:v>
                </c:pt>
                <c:pt idx="20">
                  <c:v>0.875</c:v>
                </c:pt>
                <c:pt idx="21">
                  <c:v>0.91666666666666663</c:v>
                </c:pt>
                <c:pt idx="22">
                  <c:v>0.95833333333333337</c:v>
                </c:pt>
                <c:pt idx="23" formatCode="[h]:mm:ss">
                  <c:v>1</c:v>
                </c:pt>
              </c:numCache>
            </c:numRef>
          </c:cat>
          <c:val>
            <c:numRef>
              <c:f>'вых день'!$B$2:$B$25</c:f>
              <c:numCache>
                <c:formatCode>General</c:formatCode>
                <c:ptCount val="24"/>
                <c:pt idx="0">
                  <c:v>356</c:v>
                </c:pt>
                <c:pt idx="1">
                  <c:v>245</c:v>
                </c:pt>
                <c:pt idx="2">
                  <c:v>212</c:v>
                </c:pt>
                <c:pt idx="3">
                  <c:v>166</c:v>
                </c:pt>
                <c:pt idx="4">
                  <c:v>114</c:v>
                </c:pt>
                <c:pt idx="5">
                  <c:v>110</c:v>
                </c:pt>
                <c:pt idx="6">
                  <c:v>178</c:v>
                </c:pt>
                <c:pt idx="7">
                  <c:v>252</c:v>
                </c:pt>
                <c:pt idx="8">
                  <c:v>389</c:v>
                </c:pt>
                <c:pt idx="9">
                  <c:v>559</c:v>
                </c:pt>
                <c:pt idx="10">
                  <c:v>667</c:v>
                </c:pt>
                <c:pt idx="11">
                  <c:v>851</c:v>
                </c:pt>
                <c:pt idx="12">
                  <c:v>966</c:v>
                </c:pt>
                <c:pt idx="13">
                  <c:v>1016</c:v>
                </c:pt>
                <c:pt idx="14">
                  <c:v>1046</c:v>
                </c:pt>
                <c:pt idx="15">
                  <c:v>1077</c:v>
                </c:pt>
                <c:pt idx="16">
                  <c:v>982</c:v>
                </c:pt>
                <c:pt idx="17">
                  <c:v>942</c:v>
                </c:pt>
                <c:pt idx="18">
                  <c:v>885</c:v>
                </c:pt>
                <c:pt idx="19">
                  <c:v>889</c:v>
                </c:pt>
                <c:pt idx="20">
                  <c:v>832</c:v>
                </c:pt>
                <c:pt idx="21">
                  <c:v>700</c:v>
                </c:pt>
                <c:pt idx="22">
                  <c:v>524</c:v>
                </c:pt>
                <c:pt idx="23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2-4A29-89A6-B2939BE479F4}"/>
            </c:ext>
          </c:extLst>
        </c:ser>
        <c:ser>
          <c:idx val="1"/>
          <c:order val="1"/>
          <c:tx>
            <c:strRef>
              <c:f>'вых день'!$C$1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'вых день'!$A$2:$A$25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0.79166666666666663</c:v>
                </c:pt>
                <c:pt idx="19">
                  <c:v>0.83333333333333337</c:v>
                </c:pt>
                <c:pt idx="20">
                  <c:v>0.875</c:v>
                </c:pt>
                <c:pt idx="21">
                  <c:v>0.91666666666666663</c:v>
                </c:pt>
                <c:pt idx="22">
                  <c:v>0.95833333333333337</c:v>
                </c:pt>
                <c:pt idx="23" formatCode="[h]:mm:ss">
                  <c:v>1</c:v>
                </c:pt>
              </c:numCache>
            </c:numRef>
          </c:cat>
          <c:val>
            <c:numRef>
              <c:f>'вых день'!$C$2:$C$25</c:f>
              <c:numCache>
                <c:formatCode>General</c:formatCode>
                <c:ptCount val="24"/>
                <c:pt idx="0">
                  <c:v>231</c:v>
                </c:pt>
                <c:pt idx="1">
                  <c:v>129</c:v>
                </c:pt>
                <c:pt idx="2">
                  <c:v>122</c:v>
                </c:pt>
                <c:pt idx="3">
                  <c:v>87</c:v>
                </c:pt>
                <c:pt idx="4">
                  <c:v>47</c:v>
                </c:pt>
                <c:pt idx="5">
                  <c:v>85</c:v>
                </c:pt>
                <c:pt idx="6">
                  <c:v>156</c:v>
                </c:pt>
                <c:pt idx="7">
                  <c:v>251</c:v>
                </c:pt>
                <c:pt idx="8">
                  <c:v>276</c:v>
                </c:pt>
                <c:pt idx="9">
                  <c:v>445</c:v>
                </c:pt>
                <c:pt idx="10">
                  <c:v>625</c:v>
                </c:pt>
                <c:pt idx="11">
                  <c:v>800</c:v>
                </c:pt>
                <c:pt idx="12">
                  <c:v>899</c:v>
                </c:pt>
                <c:pt idx="13">
                  <c:v>966</c:v>
                </c:pt>
                <c:pt idx="14">
                  <c:v>982</c:v>
                </c:pt>
                <c:pt idx="15">
                  <c:v>963</c:v>
                </c:pt>
                <c:pt idx="16">
                  <c:v>886</c:v>
                </c:pt>
                <c:pt idx="17">
                  <c:v>874</c:v>
                </c:pt>
                <c:pt idx="18">
                  <c:v>835</c:v>
                </c:pt>
                <c:pt idx="19">
                  <c:v>744</c:v>
                </c:pt>
                <c:pt idx="20">
                  <c:v>695</c:v>
                </c:pt>
                <c:pt idx="21">
                  <c:v>518</c:v>
                </c:pt>
                <c:pt idx="22">
                  <c:v>431</c:v>
                </c:pt>
                <c:pt idx="23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22-4A29-89A6-B2939BE479F4}"/>
            </c:ext>
          </c:extLst>
        </c:ser>
        <c:ser>
          <c:idx val="2"/>
          <c:order val="2"/>
          <c:tx>
            <c:strRef>
              <c:f>'вых день'!$D$1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'вых день'!$A$2:$A$25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0.79166666666666663</c:v>
                </c:pt>
                <c:pt idx="19">
                  <c:v>0.83333333333333337</c:v>
                </c:pt>
                <c:pt idx="20">
                  <c:v>0.875</c:v>
                </c:pt>
                <c:pt idx="21">
                  <c:v>0.91666666666666663</c:v>
                </c:pt>
                <c:pt idx="22">
                  <c:v>0.95833333333333337</c:v>
                </c:pt>
                <c:pt idx="23" formatCode="[h]:mm:ss">
                  <c:v>1</c:v>
                </c:pt>
              </c:numCache>
            </c:numRef>
          </c:cat>
          <c:val>
            <c:numRef>
              <c:f>'вых день'!$D$2:$D$25</c:f>
              <c:numCache>
                <c:formatCode>General</c:formatCode>
                <c:ptCount val="24"/>
                <c:pt idx="0">
                  <c:v>161</c:v>
                </c:pt>
                <c:pt idx="1">
                  <c:v>109</c:v>
                </c:pt>
                <c:pt idx="2">
                  <c:v>66</c:v>
                </c:pt>
                <c:pt idx="3">
                  <c:v>65</c:v>
                </c:pt>
                <c:pt idx="4">
                  <c:v>39</c:v>
                </c:pt>
                <c:pt idx="5">
                  <c:v>35</c:v>
                </c:pt>
                <c:pt idx="6">
                  <c:v>83</c:v>
                </c:pt>
                <c:pt idx="7">
                  <c:v>180</c:v>
                </c:pt>
                <c:pt idx="8">
                  <c:v>312</c:v>
                </c:pt>
                <c:pt idx="9">
                  <c:v>415</c:v>
                </c:pt>
                <c:pt idx="10">
                  <c:v>511</c:v>
                </c:pt>
                <c:pt idx="11">
                  <c:v>610</c:v>
                </c:pt>
                <c:pt idx="12">
                  <c:v>721</c:v>
                </c:pt>
                <c:pt idx="13">
                  <c:v>796</c:v>
                </c:pt>
                <c:pt idx="14">
                  <c:v>730</c:v>
                </c:pt>
                <c:pt idx="15">
                  <c:v>784</c:v>
                </c:pt>
                <c:pt idx="16">
                  <c:v>696</c:v>
                </c:pt>
                <c:pt idx="17">
                  <c:v>646</c:v>
                </c:pt>
                <c:pt idx="18">
                  <c:v>597</c:v>
                </c:pt>
                <c:pt idx="19">
                  <c:v>592</c:v>
                </c:pt>
                <c:pt idx="20">
                  <c:v>469</c:v>
                </c:pt>
                <c:pt idx="21">
                  <c:v>416</c:v>
                </c:pt>
                <c:pt idx="22">
                  <c:v>289</c:v>
                </c:pt>
                <c:pt idx="23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22-4A29-89A6-B2939BE479F4}"/>
            </c:ext>
          </c:extLst>
        </c:ser>
        <c:ser>
          <c:idx val="3"/>
          <c:order val="3"/>
          <c:tx>
            <c:strRef>
              <c:f>'вых день'!$E$1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'вых день'!$A$2:$A$25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0.79166666666666663</c:v>
                </c:pt>
                <c:pt idx="19">
                  <c:v>0.83333333333333337</c:v>
                </c:pt>
                <c:pt idx="20">
                  <c:v>0.875</c:v>
                </c:pt>
                <c:pt idx="21">
                  <c:v>0.91666666666666663</c:v>
                </c:pt>
                <c:pt idx="22">
                  <c:v>0.95833333333333337</c:v>
                </c:pt>
                <c:pt idx="23" formatCode="[h]:mm:ss">
                  <c:v>1</c:v>
                </c:pt>
              </c:numCache>
            </c:numRef>
          </c:cat>
          <c:val>
            <c:numRef>
              <c:f>'вых день'!$E$2:$E$25</c:f>
              <c:numCache>
                <c:formatCode>General</c:formatCode>
                <c:ptCount val="24"/>
                <c:pt idx="0">
                  <c:v>253</c:v>
                </c:pt>
                <c:pt idx="1">
                  <c:v>226</c:v>
                </c:pt>
                <c:pt idx="2">
                  <c:v>168</c:v>
                </c:pt>
                <c:pt idx="3">
                  <c:v>119</c:v>
                </c:pt>
                <c:pt idx="4">
                  <c:v>92</c:v>
                </c:pt>
                <c:pt idx="5">
                  <c:v>75</c:v>
                </c:pt>
                <c:pt idx="6">
                  <c:v>130</c:v>
                </c:pt>
                <c:pt idx="7">
                  <c:v>182</c:v>
                </c:pt>
                <c:pt idx="8">
                  <c:v>269</c:v>
                </c:pt>
                <c:pt idx="9">
                  <c:v>359</c:v>
                </c:pt>
                <c:pt idx="10">
                  <c:v>521</c:v>
                </c:pt>
                <c:pt idx="11">
                  <c:v>632</c:v>
                </c:pt>
                <c:pt idx="12">
                  <c:v>713</c:v>
                </c:pt>
                <c:pt idx="13">
                  <c:v>761</c:v>
                </c:pt>
                <c:pt idx="14">
                  <c:v>871</c:v>
                </c:pt>
                <c:pt idx="15">
                  <c:v>752</c:v>
                </c:pt>
                <c:pt idx="16">
                  <c:v>802</c:v>
                </c:pt>
                <c:pt idx="17">
                  <c:v>745</c:v>
                </c:pt>
                <c:pt idx="18">
                  <c:v>676</c:v>
                </c:pt>
                <c:pt idx="19">
                  <c:v>628</c:v>
                </c:pt>
                <c:pt idx="20">
                  <c:v>535</c:v>
                </c:pt>
                <c:pt idx="21">
                  <c:v>501</c:v>
                </c:pt>
                <c:pt idx="22">
                  <c:v>391</c:v>
                </c:pt>
                <c:pt idx="23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22-4A29-89A6-B2939BE47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9778655"/>
        <c:axId val="2019776575"/>
      </c:barChart>
      <c:lineChart>
        <c:grouping val="standard"/>
        <c:varyColors val="0"/>
        <c:ser>
          <c:idx val="4"/>
          <c:order val="4"/>
          <c:tx>
            <c:strRef>
              <c:f>'вых день'!$F$1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'вых день'!$A$2:$A$25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0.79166666666666663</c:v>
                </c:pt>
                <c:pt idx="19">
                  <c:v>0.83333333333333337</c:v>
                </c:pt>
                <c:pt idx="20">
                  <c:v>0.875</c:v>
                </c:pt>
                <c:pt idx="21">
                  <c:v>0.91666666666666663</c:v>
                </c:pt>
                <c:pt idx="22">
                  <c:v>0.95833333333333337</c:v>
                </c:pt>
                <c:pt idx="23" formatCode="[h]:mm:ss">
                  <c:v>1</c:v>
                </c:pt>
              </c:numCache>
            </c:numRef>
          </c:cat>
          <c:val>
            <c:numRef>
              <c:f>'вых день'!$F$2:$F$25</c:f>
              <c:numCache>
                <c:formatCode>General</c:formatCode>
                <c:ptCount val="24"/>
                <c:pt idx="0">
                  <c:v>250.25</c:v>
                </c:pt>
                <c:pt idx="1">
                  <c:v>177.25</c:v>
                </c:pt>
                <c:pt idx="2">
                  <c:v>142</c:v>
                </c:pt>
                <c:pt idx="3">
                  <c:v>109.25</c:v>
                </c:pt>
                <c:pt idx="4">
                  <c:v>73</c:v>
                </c:pt>
                <c:pt idx="5">
                  <c:v>76.25</c:v>
                </c:pt>
                <c:pt idx="6">
                  <c:v>136.75</c:v>
                </c:pt>
                <c:pt idx="7">
                  <c:v>216.25</c:v>
                </c:pt>
                <c:pt idx="8">
                  <c:v>311.5</c:v>
                </c:pt>
                <c:pt idx="9">
                  <c:v>444.5</c:v>
                </c:pt>
                <c:pt idx="10">
                  <c:v>581</c:v>
                </c:pt>
                <c:pt idx="11">
                  <c:v>723.25</c:v>
                </c:pt>
                <c:pt idx="12">
                  <c:v>824.75</c:v>
                </c:pt>
                <c:pt idx="13">
                  <c:v>884.75</c:v>
                </c:pt>
                <c:pt idx="14">
                  <c:v>907.25</c:v>
                </c:pt>
                <c:pt idx="15">
                  <c:v>894</c:v>
                </c:pt>
                <c:pt idx="16">
                  <c:v>841.5</c:v>
                </c:pt>
                <c:pt idx="17">
                  <c:v>801.75</c:v>
                </c:pt>
                <c:pt idx="18">
                  <c:v>748.25</c:v>
                </c:pt>
                <c:pt idx="19">
                  <c:v>713.25</c:v>
                </c:pt>
                <c:pt idx="20">
                  <c:v>632.75</c:v>
                </c:pt>
                <c:pt idx="21">
                  <c:v>533.75</c:v>
                </c:pt>
                <c:pt idx="22">
                  <c:v>408.75</c:v>
                </c:pt>
                <c:pt idx="23">
                  <c:v>301.25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22-4A29-89A6-B2939BE47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9778655"/>
        <c:axId val="2019776575"/>
      </c:lineChart>
      <c:catAx>
        <c:axId val="201977865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9776575"/>
        <c:crosses val="autoZero"/>
        <c:auto val="1"/>
        <c:lblAlgn val="ctr"/>
        <c:lblOffset val="100"/>
        <c:noMultiLvlLbl val="0"/>
      </c:catAx>
      <c:valAx>
        <c:axId val="201977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977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447675</xdr:colOff>
      <xdr:row>0</xdr:row>
      <xdr:rowOff>204787</xdr:rowOff>
    </xdr:from>
    <xdr:to>
      <xdr:col>15</xdr:col>
      <xdr:colOff>142875</xdr:colOff>
      <xdr:row>15</xdr:row>
      <xdr:rowOff>4762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0841D0C-E7E9-4BFC-92B1-501044834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204787</xdr:colOff>
      <xdr:row>0</xdr:row>
      <xdr:rowOff>366712</xdr:rowOff>
    </xdr:from>
    <xdr:to>
      <xdr:col>14</xdr:col>
      <xdr:colOff>509587</xdr:colOff>
      <xdr:row>15</xdr:row>
      <xdr:rowOff>52387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A787535-0A17-4118-9064-1A5C2EA88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opLeftCell="B1" workbookViewId="0">
      <selection activeCell="K20" sqref="K19:O23"/>
    </sheetView>
  </sheetViews>
  <sheetFormatPr defaultRowHeight="15" x14ac:dyDescent="0.25"/>
  <cols>
    <col min="1" max="1" width="9.42578125" style="1" bestFit="1" customWidth="1"/>
    <col min="2" max="5" width="9.28515625" style="1" bestFit="1" customWidth="1"/>
    <col min="6" max="6" width="10.42578125" style="1" customWidth="1"/>
    <col min="7" max="7" width="12.85546875" style="1" bestFit="1" customWidth="1"/>
    <col min="8" max="16384" width="9.140625" style="1"/>
  </cols>
  <sheetData>
    <row r="1" spans="1:18" ht="21.75" customHeight="1" x14ac:dyDescent="0.2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5</v>
      </c>
      <c r="G1" s="3" t="s">
        <v>6</v>
      </c>
    </row>
    <row r="2" spans="1:18" x14ac:dyDescent="0.25">
      <c r="A2" s="4">
        <v>4.1666666666666664E-2</v>
      </c>
      <c r="B2" s="5">
        <v>173</v>
      </c>
      <c r="C2" s="5">
        <v>115</v>
      </c>
      <c r="D2" s="5">
        <v>75</v>
      </c>
      <c r="E2" s="5">
        <v>128</v>
      </c>
      <c r="F2" s="5">
        <f>AVERAGE(B2:E2)</f>
        <v>122.75</v>
      </c>
      <c r="G2" s="5">
        <f>_xlfn.STDEV.S(B2:E2)</f>
        <v>40.384609279608817</v>
      </c>
    </row>
    <row r="3" spans="1:18" x14ac:dyDescent="0.25">
      <c r="A3" s="4">
        <v>8.3333333333333329E-2</v>
      </c>
      <c r="B3" s="5">
        <v>97</v>
      </c>
      <c r="C3" s="5">
        <v>73</v>
      </c>
      <c r="D3" s="5">
        <v>71</v>
      </c>
      <c r="E3" s="5">
        <v>119</v>
      </c>
      <c r="F3" s="5">
        <f t="shared" ref="F3:F25" si="0">AVERAGE(B3:E3)</f>
        <v>90</v>
      </c>
      <c r="G3" s="5">
        <f t="shared" ref="G3:G25" si="1">_xlfn.STDEV.S(B3:E3)</f>
        <v>22.656860623955239</v>
      </c>
      <c r="Q3" s="1" t="s">
        <v>7</v>
      </c>
      <c r="R3" s="8" t="s">
        <v>11</v>
      </c>
    </row>
    <row r="4" spans="1:18" x14ac:dyDescent="0.25">
      <c r="A4" s="4">
        <v>0.125</v>
      </c>
      <c r="B4" s="5">
        <v>59</v>
      </c>
      <c r="C4" s="5">
        <v>55</v>
      </c>
      <c r="D4" s="5">
        <v>35</v>
      </c>
      <c r="E4" s="5">
        <v>59</v>
      </c>
      <c r="F4" s="5">
        <f t="shared" si="0"/>
        <v>52</v>
      </c>
      <c r="G4" s="5">
        <f t="shared" si="1"/>
        <v>11.489125293076057</v>
      </c>
      <c r="Q4" s="1" t="s">
        <v>8</v>
      </c>
      <c r="R4" s="8" t="s">
        <v>12</v>
      </c>
    </row>
    <row r="5" spans="1:18" x14ac:dyDescent="0.25">
      <c r="A5" s="4">
        <v>0.16666666666666666</v>
      </c>
      <c r="B5" s="5">
        <v>63</v>
      </c>
      <c r="C5" s="5">
        <v>36</v>
      </c>
      <c r="D5" s="5">
        <v>24</v>
      </c>
      <c r="E5" s="5">
        <v>48</v>
      </c>
      <c r="F5" s="5">
        <f t="shared" si="0"/>
        <v>42.75</v>
      </c>
      <c r="G5" s="5">
        <f t="shared" si="1"/>
        <v>16.680827317612277</v>
      </c>
    </row>
    <row r="6" spans="1:18" x14ac:dyDescent="0.25">
      <c r="A6" s="4">
        <v>0.20833333333333334</v>
      </c>
      <c r="B6" s="5">
        <v>59</v>
      </c>
      <c r="C6" s="5">
        <v>35</v>
      </c>
      <c r="D6" s="5">
        <v>26</v>
      </c>
      <c r="E6" s="5">
        <v>41</v>
      </c>
      <c r="F6" s="5">
        <f t="shared" si="0"/>
        <v>40.25</v>
      </c>
      <c r="G6" s="5">
        <f t="shared" si="1"/>
        <v>13.937359864766353</v>
      </c>
    </row>
    <row r="7" spans="1:18" x14ac:dyDescent="0.25">
      <c r="A7" s="4">
        <v>0.25</v>
      </c>
      <c r="B7" s="5">
        <v>103</v>
      </c>
      <c r="C7" s="5">
        <v>113</v>
      </c>
      <c r="D7" s="5">
        <v>39</v>
      </c>
      <c r="E7" s="5">
        <v>61</v>
      </c>
      <c r="F7" s="5">
        <f t="shared" si="0"/>
        <v>79</v>
      </c>
      <c r="G7" s="5">
        <f t="shared" si="1"/>
        <v>34.909406564229457</v>
      </c>
    </row>
    <row r="8" spans="1:18" x14ac:dyDescent="0.25">
      <c r="A8" s="4">
        <v>0.29166666666666669</v>
      </c>
      <c r="B8" s="5">
        <v>298</v>
      </c>
      <c r="C8" s="5">
        <v>499</v>
      </c>
      <c r="D8" s="5">
        <v>180</v>
      </c>
      <c r="E8" s="5">
        <v>335</v>
      </c>
      <c r="F8" s="5">
        <f t="shared" si="0"/>
        <v>328</v>
      </c>
      <c r="G8" s="5">
        <f t="shared" si="1"/>
        <v>131.77506086762651</v>
      </c>
    </row>
    <row r="9" spans="1:18" x14ac:dyDescent="0.25">
      <c r="A9" s="4">
        <v>0.33333333333333331</v>
      </c>
      <c r="B9" s="5">
        <v>965</v>
      </c>
      <c r="C9" s="5">
        <v>1426</v>
      </c>
      <c r="D9" s="5">
        <v>697</v>
      </c>
      <c r="E9" s="5">
        <v>922</v>
      </c>
      <c r="F9" s="5">
        <f t="shared" si="0"/>
        <v>1002.5</v>
      </c>
      <c r="G9" s="5">
        <f t="shared" si="1"/>
        <v>305.81530373740293</v>
      </c>
    </row>
    <row r="10" spans="1:18" x14ac:dyDescent="0.25">
      <c r="A10" s="4">
        <v>0.375</v>
      </c>
      <c r="B10" s="5">
        <v>1393</v>
      </c>
      <c r="C10" s="5">
        <v>1404</v>
      </c>
      <c r="D10" s="5">
        <v>1015</v>
      </c>
      <c r="E10" s="5">
        <v>1200</v>
      </c>
      <c r="F10" s="5">
        <f t="shared" si="0"/>
        <v>1253</v>
      </c>
      <c r="G10" s="5">
        <f t="shared" si="1"/>
        <v>184.25887586038652</v>
      </c>
    </row>
    <row r="11" spans="1:18" x14ac:dyDescent="0.25">
      <c r="A11" s="4">
        <v>0.41666666666666669</v>
      </c>
      <c r="B11" s="5">
        <v>1172</v>
      </c>
      <c r="C11" s="5">
        <v>1132</v>
      </c>
      <c r="D11" s="5">
        <v>921</v>
      </c>
      <c r="E11" s="5">
        <v>1075</v>
      </c>
      <c r="F11" s="5">
        <f t="shared" si="0"/>
        <v>1075</v>
      </c>
      <c r="G11" s="5">
        <f t="shared" si="1"/>
        <v>110.1120641286261</v>
      </c>
    </row>
    <row r="12" spans="1:18" x14ac:dyDescent="0.25">
      <c r="A12" s="4">
        <v>0.45833333333333331</v>
      </c>
      <c r="B12" s="5">
        <v>974</v>
      </c>
      <c r="C12" s="5">
        <v>1008</v>
      </c>
      <c r="D12" s="5">
        <v>782</v>
      </c>
      <c r="E12" s="5">
        <v>912</v>
      </c>
      <c r="F12" s="5">
        <f t="shared" si="0"/>
        <v>919</v>
      </c>
      <c r="G12" s="5">
        <f t="shared" si="1"/>
        <v>99.605890053416687</v>
      </c>
    </row>
    <row r="13" spans="1:18" x14ac:dyDescent="0.25">
      <c r="A13" s="4">
        <v>0.5</v>
      </c>
      <c r="B13" s="5">
        <v>1115</v>
      </c>
      <c r="C13" s="5">
        <v>996</v>
      </c>
      <c r="D13" s="5">
        <v>811</v>
      </c>
      <c r="E13" s="5">
        <v>931</v>
      </c>
      <c r="F13" s="5">
        <f t="shared" si="0"/>
        <v>963.25</v>
      </c>
      <c r="G13" s="5">
        <f t="shared" si="1"/>
        <v>126.91302796272204</v>
      </c>
    </row>
    <row r="14" spans="1:18" x14ac:dyDescent="0.25">
      <c r="A14" s="4">
        <v>0.54166666666666663</v>
      </c>
      <c r="B14" s="5">
        <v>1267</v>
      </c>
      <c r="C14" s="5">
        <v>913</v>
      </c>
      <c r="D14" s="5">
        <v>829</v>
      </c>
      <c r="E14" s="5">
        <v>845</v>
      </c>
      <c r="F14" s="5">
        <f t="shared" si="0"/>
        <v>963.5</v>
      </c>
      <c r="G14" s="5">
        <f t="shared" si="1"/>
        <v>205.58453249211138</v>
      </c>
    </row>
    <row r="15" spans="1:18" x14ac:dyDescent="0.25">
      <c r="A15" s="4">
        <v>0.58333333333333337</v>
      </c>
      <c r="B15" s="5">
        <v>1351</v>
      </c>
      <c r="C15" s="5">
        <v>992</v>
      </c>
      <c r="D15" s="5">
        <v>872</v>
      </c>
      <c r="E15" s="5">
        <v>840</v>
      </c>
      <c r="F15" s="5">
        <f t="shared" si="0"/>
        <v>1013.75</v>
      </c>
      <c r="G15" s="5">
        <f t="shared" si="1"/>
        <v>234.16002363056481</v>
      </c>
    </row>
    <row r="16" spans="1:18" x14ac:dyDescent="0.25">
      <c r="A16" s="4">
        <v>0.625</v>
      </c>
      <c r="B16" s="5">
        <v>1257</v>
      </c>
      <c r="C16" s="5">
        <v>766</v>
      </c>
      <c r="D16" s="5">
        <v>883</v>
      </c>
      <c r="E16" s="5">
        <v>610</v>
      </c>
      <c r="F16" s="5">
        <f t="shared" si="0"/>
        <v>879</v>
      </c>
      <c r="G16" s="5">
        <f t="shared" si="1"/>
        <v>275.69911135148766</v>
      </c>
    </row>
    <row r="17" spans="1:15" x14ac:dyDescent="0.25">
      <c r="A17" s="4">
        <v>0.66666666666666663</v>
      </c>
      <c r="B17" s="5">
        <v>1295</v>
      </c>
      <c r="C17" s="5">
        <v>768</v>
      </c>
      <c r="D17" s="5">
        <v>560</v>
      </c>
      <c r="E17" s="5">
        <v>824</v>
      </c>
      <c r="F17" s="5">
        <f t="shared" si="0"/>
        <v>861.75</v>
      </c>
      <c r="G17" s="5">
        <f t="shared" si="1"/>
        <v>310.36148279063241</v>
      </c>
    </row>
    <row r="18" spans="1:15" x14ac:dyDescent="0.25">
      <c r="A18" s="4">
        <v>0.70833333333333337</v>
      </c>
      <c r="B18" s="5">
        <v>1442</v>
      </c>
      <c r="C18" s="5">
        <v>790</v>
      </c>
      <c r="D18" s="5">
        <v>896</v>
      </c>
      <c r="E18" s="5">
        <v>1013</v>
      </c>
      <c r="F18" s="5">
        <f t="shared" si="0"/>
        <v>1035.25</v>
      </c>
      <c r="G18" s="5">
        <f t="shared" si="1"/>
        <v>286.05287972680856</v>
      </c>
    </row>
    <row r="19" spans="1:15" x14ac:dyDescent="0.25">
      <c r="A19" s="4">
        <v>0.75</v>
      </c>
      <c r="B19" s="5">
        <v>1652</v>
      </c>
      <c r="C19" s="5">
        <v>981</v>
      </c>
      <c r="D19" s="5">
        <v>1081</v>
      </c>
      <c r="E19" s="5">
        <v>1306</v>
      </c>
      <c r="F19" s="5">
        <f t="shared" si="0"/>
        <v>1255</v>
      </c>
      <c r="G19" s="5">
        <f t="shared" si="1"/>
        <v>297.52422870527147</v>
      </c>
      <c r="K19" s="2"/>
      <c r="L19" s="5" t="s">
        <v>0</v>
      </c>
      <c r="M19" s="5" t="s">
        <v>1</v>
      </c>
      <c r="N19" s="5" t="s">
        <v>2</v>
      </c>
      <c r="O19" s="5" t="s">
        <v>3</v>
      </c>
    </row>
    <row r="20" spans="1:15" x14ac:dyDescent="0.25">
      <c r="A20" s="4">
        <v>0.79166666666666663</v>
      </c>
      <c r="B20" s="5">
        <v>1267</v>
      </c>
      <c r="C20" s="5">
        <v>970</v>
      </c>
      <c r="D20" s="5">
        <v>1032</v>
      </c>
      <c r="E20" s="5">
        <v>1104</v>
      </c>
      <c r="F20" s="5">
        <f t="shared" si="0"/>
        <v>1093.25</v>
      </c>
      <c r="G20" s="5">
        <f t="shared" si="1"/>
        <v>128.12331299702382</v>
      </c>
      <c r="K20" s="5" t="s">
        <v>0</v>
      </c>
      <c r="L20" s="5">
        <v>1</v>
      </c>
      <c r="M20" s="5">
        <v>-0.65</v>
      </c>
      <c r="N20" s="5">
        <v>0.27</v>
      </c>
      <c r="O20" s="5">
        <v>0.83</v>
      </c>
    </row>
    <row r="21" spans="1:15" x14ac:dyDescent="0.25">
      <c r="A21" s="4">
        <v>0.83333333333333337</v>
      </c>
      <c r="B21" s="5">
        <v>1229</v>
      </c>
      <c r="C21" s="5">
        <v>852</v>
      </c>
      <c r="D21" s="5">
        <v>726</v>
      </c>
      <c r="E21" s="5">
        <v>834</v>
      </c>
      <c r="F21" s="5">
        <f t="shared" si="0"/>
        <v>910.25</v>
      </c>
      <c r="G21" s="5">
        <f t="shared" si="1"/>
        <v>219.66394788403491</v>
      </c>
      <c r="K21" s="5" t="s">
        <v>1</v>
      </c>
      <c r="L21" s="5">
        <v>-0.65</v>
      </c>
      <c r="M21" s="5">
        <v>1</v>
      </c>
      <c r="N21" s="5">
        <v>0.17</v>
      </c>
      <c r="O21" s="5">
        <v>-0.39</v>
      </c>
    </row>
    <row r="22" spans="1:15" x14ac:dyDescent="0.25">
      <c r="A22" s="4">
        <v>0.875</v>
      </c>
      <c r="B22" s="5">
        <v>1129</v>
      </c>
      <c r="C22" s="5">
        <v>836</v>
      </c>
      <c r="D22" s="5">
        <v>609</v>
      </c>
      <c r="E22" s="5">
        <v>805</v>
      </c>
      <c r="F22" s="5">
        <f t="shared" si="0"/>
        <v>844.75</v>
      </c>
      <c r="G22" s="5">
        <f t="shared" si="1"/>
        <v>214.50155399592484</v>
      </c>
      <c r="K22" s="5" t="s">
        <v>2</v>
      </c>
      <c r="L22" s="5">
        <v>0.27</v>
      </c>
      <c r="M22" s="5">
        <v>0.17</v>
      </c>
      <c r="N22" s="5">
        <v>1</v>
      </c>
      <c r="O22" s="5">
        <v>0.7</v>
      </c>
    </row>
    <row r="23" spans="1:15" x14ac:dyDescent="0.25">
      <c r="A23" s="4">
        <v>0.91666666666666663</v>
      </c>
      <c r="B23" s="5">
        <v>880</v>
      </c>
      <c r="C23" s="5">
        <v>697</v>
      </c>
      <c r="D23" s="5">
        <v>442</v>
      </c>
      <c r="E23" s="5">
        <v>621</v>
      </c>
      <c r="F23" s="5">
        <f t="shared" si="0"/>
        <v>660</v>
      </c>
      <c r="G23" s="5">
        <f t="shared" si="1"/>
        <v>181.48829163337231</v>
      </c>
      <c r="K23" s="5" t="s">
        <v>3</v>
      </c>
      <c r="L23" s="5">
        <v>0.83</v>
      </c>
      <c r="M23" s="5">
        <v>-0.39</v>
      </c>
      <c r="N23" s="5">
        <v>0.7</v>
      </c>
      <c r="O23" s="5">
        <v>1</v>
      </c>
    </row>
    <row r="24" spans="1:15" x14ac:dyDescent="0.25">
      <c r="A24" s="4">
        <v>0.95833333333333337</v>
      </c>
      <c r="B24" s="5">
        <v>543</v>
      </c>
      <c r="C24" s="5">
        <v>404</v>
      </c>
      <c r="D24" s="5">
        <v>235</v>
      </c>
      <c r="E24" s="5">
        <v>421</v>
      </c>
      <c r="F24" s="5">
        <f t="shared" si="0"/>
        <v>400.75</v>
      </c>
      <c r="G24" s="5">
        <f t="shared" si="1"/>
        <v>126.66063582134217</v>
      </c>
    </row>
    <row r="25" spans="1:15" x14ac:dyDescent="0.25">
      <c r="A25" s="6">
        <v>1</v>
      </c>
      <c r="B25" s="5">
        <v>348</v>
      </c>
      <c r="C25" s="5">
        <v>226</v>
      </c>
      <c r="D25" s="5">
        <v>143</v>
      </c>
      <c r="E25" s="5">
        <v>265</v>
      </c>
      <c r="F25" s="5">
        <f t="shared" si="0"/>
        <v>245.5</v>
      </c>
      <c r="G25" s="5">
        <f t="shared" si="1"/>
        <v>85.191940150853867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F131D-6343-4C8C-86C7-151646408EB1}">
  <dimension ref="A1:Q29"/>
  <sheetViews>
    <sheetView tabSelected="1" workbookViewId="0">
      <selection activeCell="Q24" sqref="Q24"/>
    </sheetView>
  </sheetViews>
  <sheetFormatPr defaultRowHeight="15" x14ac:dyDescent="0.25"/>
  <cols>
    <col min="1" max="1" width="9.42578125" bestFit="1" customWidth="1"/>
    <col min="2" max="5" width="9.28515625" bestFit="1" customWidth="1"/>
    <col min="6" max="6" width="10.7109375" customWidth="1"/>
    <col min="7" max="7" width="12.5703125" customWidth="1"/>
  </cols>
  <sheetData>
    <row r="1" spans="1:17" ht="30" x14ac:dyDescent="0.25">
      <c r="A1" s="2" t="s">
        <v>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5</v>
      </c>
      <c r="G1" s="3" t="s">
        <v>6</v>
      </c>
    </row>
    <row r="2" spans="1:17" x14ac:dyDescent="0.25">
      <c r="A2" s="4">
        <v>4.1666666666666664E-2</v>
      </c>
      <c r="B2" s="5">
        <v>356</v>
      </c>
      <c r="C2" s="5">
        <v>231</v>
      </c>
      <c r="D2" s="5">
        <v>161</v>
      </c>
      <c r="E2" s="5">
        <v>253</v>
      </c>
      <c r="F2" s="5">
        <f>AVERAGE(B2:E2)</f>
        <v>250.25</v>
      </c>
      <c r="G2" s="5">
        <f>_xlfn.STDEV.S(B2:E2)</f>
        <v>80.677857350494051</v>
      </c>
    </row>
    <row r="3" spans="1:17" ht="15.75" x14ac:dyDescent="0.25">
      <c r="A3" s="4">
        <v>8.3333333333333329E-2</v>
      </c>
      <c r="B3" s="5">
        <v>245</v>
      </c>
      <c r="C3" s="5">
        <v>129</v>
      </c>
      <c r="D3" s="5">
        <v>109</v>
      </c>
      <c r="E3" s="5">
        <v>226</v>
      </c>
      <c r="F3" s="5">
        <f t="shared" ref="F3:F25" si="0">AVERAGE(B3:E3)</f>
        <v>177.25</v>
      </c>
      <c r="G3" s="5">
        <f t="shared" ref="G3:G25" si="1">_xlfn.STDEV.S(B3:E3)</f>
        <v>68.197629479818929</v>
      </c>
      <c r="P3" s="1" t="s">
        <v>7</v>
      </c>
      <c r="Q3" s="7" t="s">
        <v>10</v>
      </c>
    </row>
    <row r="4" spans="1:17" x14ac:dyDescent="0.25">
      <c r="A4" s="4">
        <v>0.125</v>
      </c>
      <c r="B4" s="5">
        <v>212</v>
      </c>
      <c r="C4" s="5">
        <v>122</v>
      </c>
      <c r="D4" s="5">
        <v>66</v>
      </c>
      <c r="E4" s="3">
        <v>168</v>
      </c>
      <c r="F4" s="5">
        <f t="shared" si="0"/>
        <v>142</v>
      </c>
      <c r="G4" s="5">
        <f t="shared" si="1"/>
        <v>62.588603861512468</v>
      </c>
      <c r="P4" s="1" t="s">
        <v>8</v>
      </c>
      <c r="Q4" s="1" t="s">
        <v>9</v>
      </c>
    </row>
    <row r="5" spans="1:17" x14ac:dyDescent="0.25">
      <c r="A5" s="4">
        <v>0.16666666666666666</v>
      </c>
      <c r="B5" s="5">
        <v>166</v>
      </c>
      <c r="C5" s="5">
        <v>87</v>
      </c>
      <c r="D5" s="5">
        <v>65</v>
      </c>
      <c r="E5" s="5">
        <v>119</v>
      </c>
      <c r="F5" s="5">
        <f t="shared" si="0"/>
        <v>109.25</v>
      </c>
      <c r="G5" s="5">
        <f t="shared" si="1"/>
        <v>43.851073723076233</v>
      </c>
    </row>
    <row r="6" spans="1:17" x14ac:dyDescent="0.25">
      <c r="A6" s="4">
        <v>0.20833333333333334</v>
      </c>
      <c r="B6" s="5">
        <v>114</v>
      </c>
      <c r="C6" s="5">
        <v>47</v>
      </c>
      <c r="D6" s="5">
        <v>39</v>
      </c>
      <c r="E6" s="5">
        <v>92</v>
      </c>
      <c r="F6" s="5">
        <f t="shared" si="0"/>
        <v>73</v>
      </c>
      <c r="G6" s="5">
        <f t="shared" si="1"/>
        <v>35.93512673323044</v>
      </c>
    </row>
    <row r="7" spans="1:17" x14ac:dyDescent="0.25">
      <c r="A7" s="4">
        <v>0.25</v>
      </c>
      <c r="B7" s="5">
        <v>110</v>
      </c>
      <c r="C7" s="5">
        <v>85</v>
      </c>
      <c r="D7" s="5">
        <v>35</v>
      </c>
      <c r="E7" s="3">
        <v>75</v>
      </c>
      <c r="F7" s="5">
        <f t="shared" si="0"/>
        <v>76.25</v>
      </c>
      <c r="G7" s="5">
        <f t="shared" si="1"/>
        <v>31.191612120354836</v>
      </c>
    </row>
    <row r="8" spans="1:17" x14ac:dyDescent="0.25">
      <c r="A8" s="4">
        <v>0.29166666666666669</v>
      </c>
      <c r="B8" s="5">
        <v>178</v>
      </c>
      <c r="C8" s="5">
        <v>156</v>
      </c>
      <c r="D8" s="5">
        <v>83</v>
      </c>
      <c r="E8" s="5">
        <v>130</v>
      </c>
      <c r="F8" s="5">
        <f t="shared" si="0"/>
        <v>136.75</v>
      </c>
      <c r="G8" s="5">
        <f t="shared" si="1"/>
        <v>40.852376511858729</v>
      </c>
    </row>
    <row r="9" spans="1:17" x14ac:dyDescent="0.25">
      <c r="A9" s="4">
        <v>0.33333333333333331</v>
      </c>
      <c r="B9" s="5">
        <v>252</v>
      </c>
      <c r="C9" s="5">
        <v>251</v>
      </c>
      <c r="D9" s="5">
        <v>180</v>
      </c>
      <c r="E9" s="5">
        <v>182</v>
      </c>
      <c r="F9" s="5">
        <f t="shared" si="0"/>
        <v>216.25</v>
      </c>
      <c r="G9" s="5">
        <f t="shared" si="1"/>
        <v>40.713429397845289</v>
      </c>
    </row>
    <row r="10" spans="1:17" x14ac:dyDescent="0.25">
      <c r="A10" s="4">
        <v>0.375</v>
      </c>
      <c r="B10" s="5">
        <v>389</v>
      </c>
      <c r="C10" s="5">
        <v>276</v>
      </c>
      <c r="D10" s="5">
        <v>312</v>
      </c>
      <c r="E10" s="3">
        <v>269</v>
      </c>
      <c r="F10" s="5">
        <f t="shared" si="0"/>
        <v>311.5</v>
      </c>
      <c r="G10" s="5">
        <f t="shared" si="1"/>
        <v>54.993939059984903</v>
      </c>
    </row>
    <row r="11" spans="1:17" x14ac:dyDescent="0.25">
      <c r="A11" s="4">
        <v>0.41666666666666669</v>
      </c>
      <c r="B11" s="5">
        <v>559</v>
      </c>
      <c r="C11" s="5">
        <v>445</v>
      </c>
      <c r="D11" s="5">
        <v>415</v>
      </c>
      <c r="E11" s="5">
        <v>359</v>
      </c>
      <c r="F11" s="5">
        <f t="shared" si="0"/>
        <v>444.5</v>
      </c>
      <c r="G11" s="5">
        <f t="shared" si="1"/>
        <v>84.243694126029396</v>
      </c>
    </row>
    <row r="12" spans="1:17" x14ac:dyDescent="0.25">
      <c r="A12" s="4">
        <v>0.45833333333333331</v>
      </c>
      <c r="B12" s="5">
        <v>667</v>
      </c>
      <c r="C12" s="5">
        <v>625</v>
      </c>
      <c r="D12" s="5">
        <v>511</v>
      </c>
      <c r="E12" s="5">
        <v>521</v>
      </c>
      <c r="F12" s="5">
        <f t="shared" si="0"/>
        <v>581</v>
      </c>
      <c r="G12" s="5">
        <f t="shared" si="1"/>
        <v>77.097341069585525</v>
      </c>
    </row>
    <row r="13" spans="1:17" x14ac:dyDescent="0.25">
      <c r="A13" s="4">
        <v>0.5</v>
      </c>
      <c r="B13" s="5">
        <v>851</v>
      </c>
      <c r="C13" s="5">
        <v>800</v>
      </c>
      <c r="D13" s="5">
        <v>610</v>
      </c>
      <c r="E13" s="3">
        <v>632</v>
      </c>
      <c r="F13" s="5">
        <f t="shared" si="0"/>
        <v>723.25</v>
      </c>
      <c r="G13" s="5">
        <f t="shared" si="1"/>
        <v>120.22582917160521</v>
      </c>
    </row>
    <row r="14" spans="1:17" x14ac:dyDescent="0.25">
      <c r="A14" s="4">
        <v>0.54166666666666663</v>
      </c>
      <c r="B14" s="5">
        <v>966</v>
      </c>
      <c r="C14" s="5">
        <v>899</v>
      </c>
      <c r="D14" s="5">
        <v>721</v>
      </c>
      <c r="E14" s="5">
        <v>713</v>
      </c>
      <c r="F14" s="5">
        <f t="shared" si="0"/>
        <v>824.75</v>
      </c>
      <c r="G14" s="5">
        <f t="shared" si="1"/>
        <v>127.43200801473179</v>
      </c>
    </row>
    <row r="15" spans="1:17" x14ac:dyDescent="0.25">
      <c r="A15" s="4">
        <v>0.58333333333333337</v>
      </c>
      <c r="B15" s="5">
        <v>1016</v>
      </c>
      <c r="C15" s="5">
        <v>966</v>
      </c>
      <c r="D15" s="5">
        <v>796</v>
      </c>
      <c r="E15" s="5">
        <v>761</v>
      </c>
      <c r="F15" s="5">
        <f t="shared" si="0"/>
        <v>884.75</v>
      </c>
      <c r="G15" s="5">
        <f t="shared" si="1"/>
        <v>125.1915199471061</v>
      </c>
    </row>
    <row r="16" spans="1:17" x14ac:dyDescent="0.25">
      <c r="A16" s="4">
        <v>0.625</v>
      </c>
      <c r="B16" s="5">
        <v>1046</v>
      </c>
      <c r="C16" s="5">
        <v>982</v>
      </c>
      <c r="D16" s="5">
        <v>730</v>
      </c>
      <c r="E16" s="3">
        <v>871</v>
      </c>
      <c r="F16" s="5">
        <f t="shared" si="0"/>
        <v>907.25</v>
      </c>
      <c r="G16" s="5">
        <f t="shared" si="1"/>
        <v>138.52887785584636</v>
      </c>
    </row>
    <row r="17" spans="1:14" x14ac:dyDescent="0.25">
      <c r="A17" s="4">
        <v>0.66666666666666663</v>
      </c>
      <c r="B17" s="5">
        <v>1077</v>
      </c>
      <c r="C17" s="5">
        <v>963</v>
      </c>
      <c r="D17" s="5">
        <v>784</v>
      </c>
      <c r="E17" s="5">
        <v>752</v>
      </c>
      <c r="F17" s="5">
        <f t="shared" si="0"/>
        <v>894</v>
      </c>
      <c r="G17" s="5">
        <f t="shared" si="1"/>
        <v>153.31231740035329</v>
      </c>
    </row>
    <row r="18" spans="1:14" x14ac:dyDescent="0.25">
      <c r="A18" s="4">
        <v>0.70833333333333337</v>
      </c>
      <c r="B18" s="5">
        <v>982</v>
      </c>
      <c r="C18" s="5">
        <v>886</v>
      </c>
      <c r="D18" s="5">
        <v>696</v>
      </c>
      <c r="E18" s="5">
        <v>802</v>
      </c>
      <c r="F18" s="5">
        <f t="shared" si="0"/>
        <v>841.5</v>
      </c>
      <c r="G18" s="5">
        <f t="shared" si="1"/>
        <v>121.72510012318742</v>
      </c>
    </row>
    <row r="19" spans="1:14" x14ac:dyDescent="0.25">
      <c r="A19" s="4">
        <v>0.75</v>
      </c>
      <c r="B19" s="5">
        <v>942</v>
      </c>
      <c r="C19" s="5">
        <v>874</v>
      </c>
      <c r="D19" s="5">
        <v>646</v>
      </c>
      <c r="E19" s="3">
        <v>745</v>
      </c>
      <c r="F19" s="5">
        <f t="shared" si="0"/>
        <v>801.75</v>
      </c>
      <c r="G19" s="5">
        <f t="shared" si="1"/>
        <v>132.12210261723811</v>
      </c>
    </row>
    <row r="20" spans="1:14" x14ac:dyDescent="0.25">
      <c r="A20" s="4">
        <v>0.79166666666666663</v>
      </c>
      <c r="B20" s="5">
        <v>885</v>
      </c>
      <c r="C20" s="5">
        <v>835</v>
      </c>
      <c r="D20" s="5">
        <v>597</v>
      </c>
      <c r="E20" s="5">
        <v>676</v>
      </c>
      <c r="F20" s="5">
        <f t="shared" si="0"/>
        <v>748.25</v>
      </c>
      <c r="G20" s="5">
        <f t="shared" si="1"/>
        <v>134.56442075576044</v>
      </c>
    </row>
    <row r="21" spans="1:14" x14ac:dyDescent="0.25">
      <c r="A21" s="4">
        <v>0.83333333333333337</v>
      </c>
      <c r="B21" s="5">
        <v>889</v>
      </c>
      <c r="C21" s="5">
        <v>744</v>
      </c>
      <c r="D21" s="5">
        <v>592</v>
      </c>
      <c r="E21" s="5">
        <v>628</v>
      </c>
      <c r="F21" s="5">
        <f t="shared" si="0"/>
        <v>713.25</v>
      </c>
      <c r="G21" s="5">
        <f t="shared" si="1"/>
        <v>133.91881869251984</v>
      </c>
    </row>
    <row r="22" spans="1:14" x14ac:dyDescent="0.25">
      <c r="A22" s="4">
        <v>0.875</v>
      </c>
      <c r="B22" s="5">
        <v>832</v>
      </c>
      <c r="C22" s="5">
        <v>695</v>
      </c>
      <c r="D22" s="5">
        <v>469</v>
      </c>
      <c r="E22" s="3">
        <v>535</v>
      </c>
      <c r="F22" s="5">
        <f t="shared" si="0"/>
        <v>632.75</v>
      </c>
      <c r="G22" s="5">
        <f t="shared" si="1"/>
        <v>163.24291715109726</v>
      </c>
    </row>
    <row r="23" spans="1:14" x14ac:dyDescent="0.25">
      <c r="A23" s="4">
        <v>0.91666666666666663</v>
      </c>
      <c r="B23" s="5">
        <v>700</v>
      </c>
      <c r="C23" s="5">
        <v>518</v>
      </c>
      <c r="D23" s="5">
        <v>416</v>
      </c>
      <c r="E23" s="5">
        <v>501</v>
      </c>
      <c r="F23" s="5">
        <f t="shared" si="0"/>
        <v>533.75</v>
      </c>
      <c r="G23" s="5">
        <f t="shared" si="1"/>
        <v>119.47768271383015</v>
      </c>
    </row>
    <row r="24" spans="1:14" x14ac:dyDescent="0.25">
      <c r="A24" s="4">
        <v>0.95833333333333337</v>
      </c>
      <c r="B24" s="5">
        <v>524</v>
      </c>
      <c r="C24" s="5">
        <v>431</v>
      </c>
      <c r="D24" s="5">
        <v>289</v>
      </c>
      <c r="E24" s="5">
        <v>391</v>
      </c>
      <c r="F24" s="5">
        <f t="shared" si="0"/>
        <v>408.75</v>
      </c>
      <c r="G24" s="5">
        <f t="shared" si="1"/>
        <v>97.352880457299946</v>
      </c>
    </row>
    <row r="25" spans="1:14" x14ac:dyDescent="0.25">
      <c r="A25" s="6">
        <v>1</v>
      </c>
      <c r="B25" s="5">
        <v>435</v>
      </c>
      <c r="C25" s="5">
        <v>265</v>
      </c>
      <c r="D25" s="5">
        <v>175</v>
      </c>
      <c r="E25" s="3">
        <v>330</v>
      </c>
      <c r="F25" s="5">
        <f t="shared" si="0"/>
        <v>301.25</v>
      </c>
      <c r="G25" s="5">
        <f t="shared" si="1"/>
        <v>109.49695581765428</v>
      </c>
      <c r="J25" s="2"/>
      <c r="K25" s="5" t="s">
        <v>0</v>
      </c>
      <c r="L25" s="5" t="s">
        <v>1</v>
      </c>
      <c r="M25" s="5" t="s">
        <v>2</v>
      </c>
      <c r="N25" s="5" t="s">
        <v>3</v>
      </c>
    </row>
    <row r="26" spans="1:14" x14ac:dyDescent="0.25">
      <c r="J26" s="5" t="s">
        <v>0</v>
      </c>
      <c r="K26" s="5">
        <v>1</v>
      </c>
      <c r="L26" s="5">
        <v>0.97</v>
      </c>
      <c r="M26" s="5">
        <v>0.9</v>
      </c>
      <c r="N26" s="5">
        <v>0.95</v>
      </c>
    </row>
    <row r="27" spans="1:14" x14ac:dyDescent="0.25">
      <c r="E27" t="s">
        <v>14</v>
      </c>
      <c r="J27" s="5" t="s">
        <v>1</v>
      </c>
      <c r="K27" s="5">
        <v>0.97</v>
      </c>
      <c r="L27" s="5">
        <v>1</v>
      </c>
      <c r="M27" s="5">
        <v>0.89</v>
      </c>
      <c r="N27" s="5">
        <v>0.96</v>
      </c>
    </row>
    <row r="28" spans="1:14" x14ac:dyDescent="0.25">
      <c r="C28" s="8" t="s">
        <v>13</v>
      </c>
      <c r="E28" t="s">
        <v>15</v>
      </c>
      <c r="J28" s="5" t="s">
        <v>2</v>
      </c>
      <c r="K28" s="5">
        <v>0.9</v>
      </c>
      <c r="L28" s="5">
        <v>0.89</v>
      </c>
      <c r="M28" s="5">
        <v>1</v>
      </c>
      <c r="N28" s="5">
        <v>0.91</v>
      </c>
    </row>
    <row r="29" spans="1:14" x14ac:dyDescent="0.25">
      <c r="J29" s="5" t="s">
        <v>3</v>
      </c>
      <c r="K29" s="5">
        <v>0.95</v>
      </c>
      <c r="L29" s="5">
        <v>0.96</v>
      </c>
      <c r="M29" s="5">
        <v>0.91</v>
      </c>
      <c r="N29" s="5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раб день</vt:lpstr>
      <vt:lpstr>вых день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Lipenkov</dc:creator>
  <cp:lastModifiedBy>Alex Lipenkov</cp:lastModifiedBy>
  <dcterms:created xsi:type="dcterms:W3CDTF">2015-06-05T18:19:34Z</dcterms:created>
  <dcterms:modified xsi:type="dcterms:W3CDTF">2026-05-12T20:05:09Z</dcterms:modified>
</cp:coreProperties>
</file>